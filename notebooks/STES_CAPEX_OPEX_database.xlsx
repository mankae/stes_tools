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mbkka\Documents\ETHZ\semester_projekt\04_code\"/>
    </mc:Choice>
  </mc:AlternateContent>
  <xr:revisionPtr revIDLastSave="0" documentId="13_ncr:1_{72AC3A10-0336-446A-B38F-44D888CB8A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PEX" sheetId="3" r:id="rId1"/>
    <sheet name="OPEX" sheetId="5" r:id="rId2"/>
    <sheet name="inflation &amp; currencies" sheetId="4" r:id="rId3"/>
    <sheet name="R2 CAPEX" sheetId="6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163" i="3" l="1"/>
  <c r="AD163" i="3"/>
  <c r="AA161" i="3"/>
  <c r="Z161" i="3"/>
  <c r="AD161" i="3" s="1"/>
  <c r="Y161" i="3"/>
  <c r="X161" i="3"/>
  <c r="J161" i="3"/>
  <c r="AB131" i="3"/>
  <c r="AA131" i="3"/>
  <c r="Z131" i="3"/>
  <c r="Y131" i="3"/>
  <c r="AC131" i="3" s="1"/>
  <c r="X131" i="3"/>
  <c r="Z130" i="3"/>
  <c r="Y130" i="3"/>
  <c r="AC130" i="3" s="1"/>
  <c r="P131" i="3"/>
  <c r="O131" i="3"/>
  <c r="J131" i="3"/>
  <c r="H131" i="3"/>
  <c r="G131" i="3"/>
  <c r="F131" i="3"/>
  <c r="E131" i="3"/>
  <c r="D131" i="3"/>
  <c r="C131" i="3"/>
  <c r="N131" i="3"/>
  <c r="P130" i="3"/>
  <c r="AA130" i="3" s="1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X130" i="3" s="1"/>
  <c r="M27" i="5"/>
  <c r="N27" i="5"/>
  <c r="O27" i="5"/>
  <c r="P27" i="5"/>
  <c r="F9" i="6"/>
  <c r="F10" i="6"/>
  <c r="F11" i="6"/>
  <c r="F12" i="6"/>
  <c r="F13" i="6"/>
  <c r="F14" i="6"/>
  <c r="F15" i="6"/>
  <c r="N16" i="5"/>
  <c r="N17" i="5"/>
  <c r="N18" i="5"/>
  <c r="N19" i="5"/>
  <c r="N20" i="5"/>
  <c r="N21" i="5"/>
  <c r="N22" i="5"/>
  <c r="N23" i="5"/>
  <c r="N24" i="5"/>
  <c r="N15" i="5"/>
  <c r="L161" i="3" l="1"/>
  <c r="M161" i="3"/>
  <c r="P161" i="3"/>
  <c r="E161" i="3"/>
  <c r="F161" i="3"/>
  <c r="O161" i="3"/>
  <c r="D161" i="3"/>
  <c r="G161" i="3"/>
  <c r="H161" i="3"/>
  <c r="K161" i="3"/>
  <c r="N161" i="3"/>
  <c r="C161" i="3"/>
  <c r="I161" i="3"/>
  <c r="I131" i="3"/>
  <c r="K131" i="3"/>
  <c r="L131" i="3"/>
  <c r="M131" i="3"/>
  <c r="I122" i="3"/>
  <c r="F132" i="3" s="1"/>
  <c r="J91" i="3"/>
  <c r="E9" i="6"/>
  <c r="E10" i="6"/>
  <c r="E11" i="6"/>
  <c r="E12" i="6"/>
  <c r="E13" i="6"/>
  <c r="E14" i="6"/>
  <c r="E15" i="6"/>
  <c r="G81" i="3"/>
  <c r="L81" i="3" s="1"/>
  <c r="J66" i="6" s="1"/>
  <c r="M81" i="3"/>
  <c r="J38" i="6" s="1"/>
  <c r="M79" i="3"/>
  <c r="J37" i="6" s="1"/>
  <c r="K78" i="3"/>
  <c r="J12" i="6" s="1"/>
  <c r="K79" i="3"/>
  <c r="J13" i="6" s="1"/>
  <c r="I126" i="3"/>
  <c r="P132" i="3" s="1"/>
  <c r="AA132" i="3" s="1"/>
  <c r="L103" i="3"/>
  <c r="N14" i="6" s="1"/>
  <c r="L104" i="3"/>
  <c r="N15" i="6" s="1"/>
  <c r="L105" i="3"/>
  <c r="N16" i="6" s="1"/>
  <c r="J55" i="6" l="1"/>
  <c r="J54" i="6"/>
  <c r="J87" i="3"/>
  <c r="L87" i="3" s="1"/>
  <c r="N3" i="6" s="1"/>
  <c r="J100" i="3"/>
  <c r="J101" i="3"/>
  <c r="J102" i="3"/>
  <c r="L102" i="3" s="1"/>
  <c r="N13" i="6" s="1"/>
  <c r="J99" i="3"/>
  <c r="L99" i="3" s="1"/>
  <c r="J95" i="3"/>
  <c r="L95" i="3" s="1"/>
  <c r="N9" i="6" s="1"/>
  <c r="J96" i="3"/>
  <c r="L96" i="3" s="1"/>
  <c r="N10" i="6" s="1"/>
  <c r="J94" i="3"/>
  <c r="L91" i="3"/>
  <c r="N6" i="6" s="1"/>
  <c r="J92" i="3"/>
  <c r="L92" i="3" s="1"/>
  <c r="N7" i="6" s="1"/>
  <c r="J90" i="3"/>
  <c r="L90" i="3" s="1"/>
  <c r="N5" i="6" s="1"/>
  <c r="J88" i="3"/>
  <c r="N12" i="6" l="1"/>
  <c r="M87" i="3"/>
  <c r="J89" i="3"/>
  <c r="J93" i="3"/>
  <c r="M96" i="3"/>
  <c r="J97" i="3"/>
  <c r="J98" i="3"/>
  <c r="M102" i="3"/>
  <c r="M90" i="3"/>
  <c r="M103" i="3"/>
  <c r="M104" i="3"/>
  <c r="M105" i="3"/>
  <c r="I38" i="3"/>
  <c r="F16" i="6" s="1"/>
  <c r="B176" i="3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I17" i="3"/>
  <c r="I18" i="3"/>
  <c r="I19" i="3"/>
  <c r="I5" i="3"/>
  <c r="I6" i="3"/>
  <c r="I7" i="3"/>
  <c r="I8" i="3"/>
  <c r="I9" i="3"/>
  <c r="I10" i="3"/>
  <c r="I11" i="3"/>
  <c r="I12" i="3"/>
  <c r="I13" i="3"/>
  <c r="I14" i="3"/>
  <c r="I15" i="3"/>
  <c r="I16" i="3"/>
  <c r="M15" i="5"/>
  <c r="M16" i="5"/>
  <c r="M17" i="5"/>
  <c r="M18" i="5"/>
  <c r="M19" i="5"/>
  <c r="M20" i="5"/>
  <c r="M21" i="5"/>
  <c r="M22" i="5"/>
  <c r="M23" i="5"/>
  <c r="M24" i="5"/>
  <c r="P16" i="5"/>
  <c r="P17" i="5"/>
  <c r="P18" i="5"/>
  <c r="P19" i="5"/>
  <c r="P20" i="5"/>
  <c r="P21" i="5"/>
  <c r="P22" i="5"/>
  <c r="P23" i="5"/>
  <c r="P24" i="5"/>
  <c r="P15" i="5"/>
  <c r="O16" i="5"/>
  <c r="O17" i="5"/>
  <c r="O18" i="5"/>
  <c r="O19" i="5"/>
  <c r="O20" i="5"/>
  <c r="O21" i="5"/>
  <c r="O22" i="5"/>
  <c r="O23" i="5"/>
  <c r="O24" i="5"/>
  <c r="O15" i="5"/>
  <c r="AG87" i="3"/>
  <c r="AF87" i="3"/>
  <c r="M73" i="3"/>
  <c r="M74" i="3"/>
  <c r="M75" i="3"/>
  <c r="M76" i="3"/>
  <c r="M69" i="3"/>
  <c r="M70" i="3"/>
  <c r="M71" i="3"/>
  <c r="M77" i="3"/>
  <c r="E102" i="3"/>
  <c r="E101" i="3"/>
  <c r="E100" i="3"/>
  <c r="E99" i="3"/>
  <c r="I171" i="3"/>
  <c r="D175" i="3" s="1"/>
  <c r="I170" i="3"/>
  <c r="F175" i="3" s="1"/>
  <c r="D168" i="3"/>
  <c r="I169" i="3"/>
  <c r="I168" i="3"/>
  <c r="AH89" i="3"/>
  <c r="AE69" i="3"/>
  <c r="AD69" i="3"/>
  <c r="AC69" i="3"/>
  <c r="AB69" i="3"/>
  <c r="AB72" i="3" s="1"/>
  <c r="AF71" i="3"/>
  <c r="AB71" i="3" s="1"/>
  <c r="L74" i="3"/>
  <c r="L75" i="3"/>
  <c r="J61" i="6" s="1"/>
  <c r="L76" i="3"/>
  <c r="L77" i="3"/>
  <c r="K74" i="3"/>
  <c r="M91" i="3"/>
  <c r="M92" i="3"/>
  <c r="E98" i="3"/>
  <c r="E97" i="3"/>
  <c r="E96" i="3"/>
  <c r="E95" i="3"/>
  <c r="E94" i="3"/>
  <c r="E93" i="3"/>
  <c r="E92" i="3"/>
  <c r="E91" i="3"/>
  <c r="E90" i="3"/>
  <c r="E89" i="3"/>
  <c r="E88" i="3"/>
  <c r="E87" i="3"/>
  <c r="J62" i="6" l="1"/>
  <c r="J63" i="6"/>
  <c r="J60" i="6"/>
  <c r="J46" i="6"/>
  <c r="J29" i="6"/>
  <c r="N31" i="6"/>
  <c r="N48" i="6"/>
  <c r="J45" i="6"/>
  <c r="J28" i="6"/>
  <c r="N50" i="6"/>
  <c r="N33" i="6"/>
  <c r="N29" i="6"/>
  <c r="N46" i="6"/>
  <c r="J34" i="6"/>
  <c r="J51" i="6"/>
  <c r="N27" i="6"/>
  <c r="N44" i="6"/>
  <c r="N36" i="6"/>
  <c r="N53" i="6"/>
  <c r="J32" i="6"/>
  <c r="J49" i="6"/>
  <c r="N52" i="6"/>
  <c r="N35" i="6"/>
  <c r="J31" i="6"/>
  <c r="J48" i="6"/>
  <c r="N55" i="6"/>
  <c r="N38" i="6"/>
  <c r="J35" i="6"/>
  <c r="J52" i="6"/>
  <c r="N30" i="6"/>
  <c r="N47" i="6"/>
  <c r="J44" i="6"/>
  <c r="J27" i="6"/>
  <c r="J50" i="6"/>
  <c r="J33" i="6"/>
  <c r="N37" i="6"/>
  <c r="N54" i="6"/>
  <c r="J8" i="6"/>
  <c r="B9" i="6"/>
  <c r="B8" i="6"/>
  <c r="B7" i="6"/>
  <c r="B6" i="6"/>
  <c r="B5" i="6"/>
  <c r="B4" i="6"/>
  <c r="B3" i="6"/>
  <c r="A19" i="6"/>
  <c r="A4" i="6" s="1"/>
  <c r="B14" i="6"/>
  <c r="B17" i="6"/>
  <c r="B13" i="6"/>
  <c r="F18" i="3"/>
  <c r="B16" i="6"/>
  <c r="B12" i="6"/>
  <c r="B15" i="6"/>
  <c r="B11" i="6"/>
  <c r="B10" i="6"/>
  <c r="E16" i="6"/>
  <c r="AI90" i="3"/>
  <c r="AF97" i="3"/>
  <c r="AF96" i="3"/>
  <c r="AF98" i="3"/>
  <c r="AF95" i="3"/>
  <c r="AF99" i="3"/>
  <c r="AF94" i="3"/>
  <c r="AF91" i="3"/>
  <c r="AF93" i="3"/>
  <c r="AF92" i="3"/>
  <c r="AF90" i="3"/>
  <c r="AG96" i="3"/>
  <c r="AG97" i="3"/>
  <c r="AG90" i="3"/>
  <c r="AG95" i="3"/>
  <c r="AG98" i="3"/>
  <c r="AG91" i="3"/>
  <c r="AG99" i="3"/>
  <c r="AG92" i="3"/>
  <c r="AG93" i="3"/>
  <c r="AG94" i="3"/>
  <c r="AF89" i="3"/>
  <c r="AG89" i="3"/>
  <c r="M97" i="3"/>
  <c r="L97" i="3"/>
  <c r="M93" i="3"/>
  <c r="L93" i="3"/>
  <c r="M89" i="3"/>
  <c r="N28" i="6" s="1"/>
  <c r="L89" i="3"/>
  <c r="K99" i="3"/>
  <c r="K100" i="3"/>
  <c r="K101" i="3"/>
  <c r="K102" i="3"/>
  <c r="P26" i="5"/>
  <c r="N26" i="5"/>
  <c r="O26" i="5"/>
  <c r="M26" i="5"/>
  <c r="AJ71" i="3"/>
  <c r="AI97" i="3"/>
  <c r="AI96" i="3"/>
  <c r="K87" i="3"/>
  <c r="AC72" i="3"/>
  <c r="AJ90" i="3"/>
  <c r="AD72" i="3"/>
  <c r="AI98" i="3"/>
  <c r="AJ95" i="3"/>
  <c r="AI95" i="3"/>
  <c r="AI89" i="3"/>
  <c r="AJ94" i="3"/>
  <c r="AJ89" i="3"/>
  <c r="AI94" i="3"/>
  <c r="AJ99" i="3"/>
  <c r="AJ93" i="3"/>
  <c r="AI99" i="3"/>
  <c r="AI93" i="3"/>
  <c r="AJ98" i="3"/>
  <c r="AJ92" i="3"/>
  <c r="AI92" i="3"/>
  <c r="AJ97" i="3"/>
  <c r="AJ91" i="3"/>
  <c r="AI91" i="3"/>
  <c r="AJ96" i="3"/>
  <c r="AI78" i="3"/>
  <c r="AI72" i="3"/>
  <c r="AD77" i="3"/>
  <c r="AD76" i="3"/>
  <c r="AI77" i="3"/>
  <c r="AI71" i="3"/>
  <c r="AH77" i="3"/>
  <c r="AH71" i="3"/>
  <c r="AC76" i="3"/>
  <c r="AG77" i="3"/>
  <c r="AG71" i="3"/>
  <c r="AB76" i="3"/>
  <c r="AI76" i="3"/>
  <c r="AD81" i="3"/>
  <c r="AD75" i="3"/>
  <c r="AH76" i="3"/>
  <c r="AC81" i="3"/>
  <c r="AC75" i="3"/>
  <c r="AE73" i="3"/>
  <c r="AI81" i="3"/>
  <c r="AI75" i="3"/>
  <c r="AD80" i="3"/>
  <c r="AD74" i="3"/>
  <c r="AI80" i="3"/>
  <c r="AI74" i="3"/>
  <c r="AD79" i="3"/>
  <c r="AD73" i="3"/>
  <c r="AH80" i="3"/>
  <c r="AH74" i="3"/>
  <c r="AC79" i="3"/>
  <c r="AC73" i="3"/>
  <c r="AG80" i="3"/>
  <c r="AG74" i="3"/>
  <c r="AB79" i="3"/>
  <c r="AB73" i="3"/>
  <c r="AI79" i="3"/>
  <c r="AI73" i="3"/>
  <c r="AD78" i="3"/>
  <c r="AH79" i="3"/>
  <c r="AH73" i="3"/>
  <c r="AC78" i="3"/>
  <c r="AJ79" i="3"/>
  <c r="AJ76" i="3"/>
  <c r="AJ73" i="3"/>
  <c r="AE81" i="3"/>
  <c r="AE78" i="3"/>
  <c r="AE75" i="3"/>
  <c r="AE72" i="3"/>
  <c r="AJ81" i="3"/>
  <c r="AJ78" i="3"/>
  <c r="AJ75" i="3"/>
  <c r="AJ72" i="3"/>
  <c r="AE80" i="3"/>
  <c r="AE77" i="3"/>
  <c r="AE74" i="3"/>
  <c r="AE71" i="3"/>
  <c r="AD71" i="3"/>
  <c r="AH81" i="3"/>
  <c r="AH78" i="3"/>
  <c r="AH75" i="3"/>
  <c r="AH72" i="3"/>
  <c r="AC80" i="3"/>
  <c r="AC77" i="3"/>
  <c r="AC74" i="3"/>
  <c r="AC71" i="3"/>
  <c r="AG81" i="3"/>
  <c r="AG78" i="3"/>
  <c r="AG75" i="3"/>
  <c r="AG72" i="3"/>
  <c r="AB80" i="3"/>
  <c r="AB77" i="3"/>
  <c r="AB74" i="3"/>
  <c r="AJ80" i="3"/>
  <c r="AJ77" i="3"/>
  <c r="AJ74" i="3"/>
  <c r="AE79" i="3"/>
  <c r="AE76" i="3"/>
  <c r="AG79" i="3"/>
  <c r="AG76" i="3"/>
  <c r="AG73" i="3"/>
  <c r="AB81" i="3"/>
  <c r="AB78" i="3"/>
  <c r="AB75" i="3"/>
  <c r="F176" i="3"/>
  <c r="D176" i="3"/>
  <c r="E175" i="3"/>
  <c r="Y175" i="3" s="1"/>
  <c r="E176" i="3"/>
  <c r="F177" i="3"/>
  <c r="K98" i="3"/>
  <c r="K97" i="3"/>
  <c r="K96" i="3"/>
  <c r="K95" i="3"/>
  <c r="K94" i="3"/>
  <c r="K93" i="3"/>
  <c r="K92" i="3"/>
  <c r="K91" i="3"/>
  <c r="K90" i="3"/>
  <c r="K89" i="3"/>
  <c r="K88" i="3"/>
  <c r="N60" i="6" s="1"/>
  <c r="K70" i="3"/>
  <c r="I123" i="3"/>
  <c r="I124" i="3"/>
  <c r="I125" i="3"/>
  <c r="I121" i="3"/>
  <c r="I120" i="3"/>
  <c r="E77" i="3"/>
  <c r="K77" i="3" s="1"/>
  <c r="K76" i="3"/>
  <c r="K75" i="3"/>
  <c r="K73" i="3"/>
  <c r="K72" i="3"/>
  <c r="K71" i="3"/>
  <c r="K69" i="3"/>
  <c r="I30" i="3"/>
  <c r="F8" i="6" s="1"/>
  <c r="I29" i="3"/>
  <c r="F7" i="6" s="1"/>
  <c r="I28" i="3"/>
  <c r="F6" i="6" s="1"/>
  <c r="I27" i="3"/>
  <c r="F5" i="6" s="1"/>
  <c r="I26" i="3"/>
  <c r="F4" i="6" s="1"/>
  <c r="I25" i="3"/>
  <c r="I116" i="3"/>
  <c r="I117" i="3"/>
  <c r="I113" i="3"/>
  <c r="I114" i="3"/>
  <c r="I115" i="3"/>
  <c r="I118" i="3"/>
  <c r="I119" i="3"/>
  <c r="N67" i="6" l="1"/>
  <c r="N68" i="6"/>
  <c r="N74" i="6"/>
  <c r="N69" i="6"/>
  <c r="N73" i="6"/>
  <c r="N65" i="6"/>
  <c r="M65" i="6"/>
  <c r="N66" i="6"/>
  <c r="N70" i="6"/>
  <c r="N72" i="6"/>
  <c r="N71" i="6"/>
  <c r="N59" i="6"/>
  <c r="M76" i="6"/>
  <c r="M60" i="6" s="1"/>
  <c r="M40" i="6"/>
  <c r="M32" i="6" s="1"/>
  <c r="E18" i="6"/>
  <c r="E3" i="6" s="1"/>
  <c r="F3" i="6"/>
  <c r="N61" i="6"/>
  <c r="N62" i="6"/>
  <c r="N63" i="6"/>
  <c r="N64" i="6"/>
  <c r="N34" i="6"/>
  <c r="N51" i="6"/>
  <c r="N45" i="6"/>
  <c r="N49" i="6"/>
  <c r="N32" i="6"/>
  <c r="A15" i="6"/>
  <c r="A12" i="6"/>
  <c r="A5" i="6"/>
  <c r="A6" i="6"/>
  <c r="A13" i="6"/>
  <c r="A7" i="6"/>
  <c r="A10" i="6"/>
  <c r="A17" i="6"/>
  <c r="A11" i="6"/>
  <c r="A14" i="6"/>
  <c r="J11" i="6"/>
  <c r="J3" i="6"/>
  <c r="I15" i="6"/>
  <c r="I3" i="6" s="1"/>
  <c r="J4" i="6"/>
  <c r="A8" i="6"/>
  <c r="J5" i="6"/>
  <c r="N4" i="6"/>
  <c r="M18" i="6"/>
  <c r="A3" i="6"/>
  <c r="H72" i="3"/>
  <c r="M72" i="3" s="1"/>
  <c r="J6" i="6"/>
  <c r="A9" i="6"/>
  <c r="J7" i="6"/>
  <c r="N8" i="6"/>
  <c r="E4" i="6"/>
  <c r="E5" i="6"/>
  <c r="E6" i="6"/>
  <c r="E7" i="6"/>
  <c r="J9" i="6"/>
  <c r="A16" i="6"/>
  <c r="E8" i="6"/>
  <c r="J10" i="6"/>
  <c r="N11" i="6"/>
  <c r="O132" i="3"/>
  <c r="L78" i="3"/>
  <c r="M78" i="3"/>
  <c r="L79" i="3"/>
  <c r="Y176" i="3"/>
  <c r="C175" i="3"/>
  <c r="X175" i="3" s="1"/>
  <c r="E177" i="3"/>
  <c r="Y177" i="3" s="1"/>
  <c r="D177" i="3"/>
  <c r="C176" i="3"/>
  <c r="X176" i="3" s="1"/>
  <c r="F178" i="3"/>
  <c r="C177" i="3"/>
  <c r="M64" i="6" l="1"/>
  <c r="M59" i="6"/>
  <c r="M33" i="6"/>
  <c r="M63" i="6"/>
  <c r="M35" i="6"/>
  <c r="M71" i="6"/>
  <c r="M69" i="6"/>
  <c r="M31" i="6"/>
  <c r="M72" i="6"/>
  <c r="M74" i="6"/>
  <c r="M28" i="6"/>
  <c r="M73" i="6"/>
  <c r="M30" i="6"/>
  <c r="M37" i="6"/>
  <c r="M27" i="6"/>
  <c r="M70" i="6"/>
  <c r="M68" i="6"/>
  <c r="M61" i="6"/>
  <c r="J65" i="6"/>
  <c r="M29" i="6"/>
  <c r="M34" i="6"/>
  <c r="M62" i="6"/>
  <c r="J64" i="6"/>
  <c r="M38" i="6"/>
  <c r="M66" i="6"/>
  <c r="M67" i="6"/>
  <c r="M36" i="6"/>
  <c r="G3" i="6"/>
  <c r="C3" i="6"/>
  <c r="I9" i="6"/>
  <c r="I5" i="6"/>
  <c r="I6" i="6"/>
  <c r="J36" i="6"/>
  <c r="J53" i="6"/>
  <c r="J47" i="6"/>
  <c r="J30" i="6"/>
  <c r="I40" i="6"/>
  <c r="I7" i="6"/>
  <c r="I4" i="6"/>
  <c r="M11" i="6"/>
  <c r="M3" i="6"/>
  <c r="M8" i="6"/>
  <c r="L72" i="3"/>
  <c r="I13" i="6"/>
  <c r="I12" i="6"/>
  <c r="I8" i="6"/>
  <c r="I10" i="6"/>
  <c r="M14" i="6"/>
  <c r="M16" i="6"/>
  <c r="M15" i="6"/>
  <c r="M13" i="6"/>
  <c r="M12" i="6"/>
  <c r="M7" i="6"/>
  <c r="M5" i="6"/>
  <c r="M6" i="6"/>
  <c r="M9" i="6"/>
  <c r="M10" i="6"/>
  <c r="I11" i="6"/>
  <c r="M4" i="6"/>
  <c r="X177" i="3"/>
  <c r="E178" i="3"/>
  <c r="Y178" i="3" s="1"/>
  <c r="D178" i="3"/>
  <c r="F179" i="3"/>
  <c r="C178" i="3"/>
  <c r="O44" i="6" l="1"/>
  <c r="I68" i="6"/>
  <c r="I59" i="6" s="1"/>
  <c r="J59" i="6"/>
  <c r="O27" i="6"/>
  <c r="O59" i="6"/>
  <c r="I35" i="6"/>
  <c r="I38" i="6"/>
  <c r="I37" i="6"/>
  <c r="I33" i="6"/>
  <c r="I29" i="6"/>
  <c r="I32" i="6"/>
  <c r="I31" i="6"/>
  <c r="I34" i="6"/>
  <c r="I27" i="6"/>
  <c r="I28" i="6"/>
  <c r="I36" i="6"/>
  <c r="K3" i="6"/>
  <c r="I30" i="6"/>
  <c r="O3" i="6"/>
  <c r="X178" i="3"/>
  <c r="E179" i="3"/>
  <c r="Y179" i="3" s="1"/>
  <c r="D179" i="3"/>
  <c r="F180" i="3"/>
  <c r="C179" i="3"/>
  <c r="I61" i="6" l="1"/>
  <c r="I66" i="6"/>
  <c r="I62" i="6"/>
  <c r="I63" i="6"/>
  <c r="I60" i="6"/>
  <c r="I64" i="6"/>
  <c r="I65" i="6"/>
  <c r="K27" i="6"/>
  <c r="K44" i="6"/>
  <c r="X179" i="3"/>
  <c r="E180" i="3"/>
  <c r="Y180" i="3" s="1"/>
  <c r="D180" i="3"/>
  <c r="F181" i="3"/>
  <c r="C180" i="3"/>
  <c r="K59" i="6" l="1"/>
  <c r="X180" i="3"/>
  <c r="E181" i="3"/>
  <c r="Y181" i="3" s="1"/>
  <c r="D181" i="3"/>
  <c r="F182" i="3"/>
  <c r="C181" i="3"/>
  <c r="X181" i="3" l="1"/>
  <c r="E182" i="3"/>
  <c r="Y182" i="3" s="1"/>
  <c r="D182" i="3"/>
  <c r="C182" i="3"/>
  <c r="F183" i="3"/>
  <c r="X182" i="3" l="1"/>
  <c r="E183" i="3"/>
  <c r="Y183" i="3" s="1"/>
  <c r="D183" i="3"/>
  <c r="C183" i="3"/>
  <c r="F184" i="3"/>
  <c r="X183" i="3" l="1"/>
  <c r="E184" i="3"/>
  <c r="Y184" i="3" s="1"/>
  <c r="D184" i="3"/>
  <c r="C184" i="3"/>
  <c r="X184" i="3" l="1"/>
  <c r="F185" i="3"/>
  <c r="F186" i="3" l="1"/>
  <c r="C185" i="3"/>
  <c r="E185" i="3"/>
  <c r="Y185" i="3" s="1"/>
  <c r="D185" i="3"/>
  <c r="F187" i="3" l="1"/>
  <c r="C186" i="3"/>
  <c r="D186" i="3"/>
  <c r="X185" i="3"/>
  <c r="E186" i="3"/>
  <c r="Y186" i="3" s="1"/>
  <c r="F188" i="3" l="1"/>
  <c r="E187" i="3"/>
  <c r="Y187" i="3" s="1"/>
  <c r="C187" i="3"/>
  <c r="D187" i="3"/>
  <c r="X186" i="3"/>
  <c r="F189" i="3" l="1"/>
  <c r="X187" i="3"/>
  <c r="C188" i="3"/>
  <c r="D188" i="3"/>
  <c r="E188" i="3"/>
  <c r="Y188" i="3" s="1"/>
  <c r="F190" i="3" l="1"/>
  <c r="C189" i="3"/>
  <c r="D189" i="3"/>
  <c r="E189" i="3"/>
  <c r="Y189" i="3" s="1"/>
  <c r="X188" i="3"/>
  <c r="E190" i="3"/>
  <c r="D190" i="3"/>
  <c r="F191" i="3"/>
  <c r="C190" i="3"/>
  <c r="Y190" i="3" l="1"/>
  <c r="X189" i="3"/>
  <c r="X190" i="3"/>
  <c r="E191" i="3"/>
  <c r="Y191" i="3" s="1"/>
  <c r="D191" i="3"/>
  <c r="F192" i="3"/>
  <c r="C191" i="3"/>
  <c r="X191" i="3" l="1"/>
  <c r="E192" i="3"/>
  <c r="Y192" i="3" s="1"/>
  <c r="D192" i="3"/>
  <c r="F193" i="3"/>
  <c r="C192" i="3"/>
  <c r="X192" i="3" l="1"/>
  <c r="E193" i="3"/>
  <c r="Y193" i="3" s="1"/>
  <c r="D193" i="3"/>
  <c r="C193" i="3"/>
  <c r="X193" i="3" l="1"/>
  <c r="F194" i="3"/>
  <c r="F195" i="3" l="1"/>
  <c r="C194" i="3"/>
  <c r="E194" i="3"/>
  <c r="Y194" i="3" s="1"/>
  <c r="D194" i="3"/>
  <c r="X194" i="3" l="1"/>
  <c r="F196" i="3"/>
  <c r="D195" i="3"/>
  <c r="E195" i="3"/>
  <c r="Y195" i="3" s="1"/>
  <c r="C195" i="3"/>
  <c r="X195" i="3" s="1"/>
  <c r="F197" i="3" l="1"/>
  <c r="D196" i="3"/>
  <c r="E196" i="3"/>
  <c r="Y196" i="3" s="1"/>
  <c r="C196" i="3"/>
  <c r="X196" i="3" l="1"/>
  <c r="F198" i="3"/>
  <c r="E197" i="3"/>
  <c r="Y197" i="3" s="1"/>
  <c r="C197" i="3"/>
  <c r="D197" i="3"/>
  <c r="F199" i="3" l="1"/>
  <c r="C198" i="3"/>
  <c r="D198" i="3"/>
  <c r="E198" i="3"/>
  <c r="Y198" i="3" s="1"/>
  <c r="X197" i="3"/>
  <c r="X198" i="3"/>
  <c r="E199" i="3"/>
  <c r="D199" i="3"/>
  <c r="F200" i="3"/>
  <c r="Y199" i="3" l="1"/>
  <c r="C199" i="3"/>
  <c r="X199" i="3" s="1"/>
  <c r="E200" i="3"/>
  <c r="Y200" i="3" s="1"/>
  <c r="D200" i="3"/>
  <c r="C200" i="3"/>
  <c r="F201" i="3"/>
  <c r="X200" i="3" l="1"/>
  <c r="E201" i="3"/>
  <c r="Y201" i="3" s="1"/>
  <c r="D201" i="3"/>
  <c r="F202" i="3"/>
  <c r="C201" i="3"/>
  <c r="X201" i="3" l="1"/>
  <c r="E202" i="3"/>
  <c r="Y202" i="3" s="1"/>
  <c r="D202" i="3"/>
  <c r="C202" i="3"/>
  <c r="X202" i="3" l="1"/>
  <c r="F203" i="3"/>
  <c r="L132" i="3"/>
  <c r="N132" i="3"/>
  <c r="M132" i="3"/>
  <c r="K132" i="3"/>
  <c r="G132" i="3"/>
  <c r="J132" i="3"/>
  <c r="D132" i="3"/>
  <c r="E132" i="3"/>
  <c r="C132" i="3"/>
  <c r="I132" i="3"/>
  <c r="H132" i="3"/>
  <c r="B133" i="3"/>
  <c r="F133" i="3" l="1"/>
  <c r="O133" i="3"/>
  <c r="P133" i="3"/>
  <c r="AA133" i="3" s="1"/>
  <c r="Y132" i="3"/>
  <c r="AC132" i="3" s="1"/>
  <c r="C203" i="3"/>
  <c r="E203" i="3"/>
  <c r="Y203" i="3" s="1"/>
  <c r="D203" i="3"/>
  <c r="N133" i="3"/>
  <c r="L133" i="3"/>
  <c r="Z132" i="3" s="1"/>
  <c r="M133" i="3"/>
  <c r="K133" i="3"/>
  <c r="J133" i="3"/>
  <c r="G133" i="3"/>
  <c r="D133" i="3"/>
  <c r="X132" i="3" s="1"/>
  <c r="AB132" i="3" s="1"/>
  <c r="C133" i="3"/>
  <c r="E133" i="3"/>
  <c r="I133" i="3"/>
  <c r="H133" i="3"/>
  <c r="B134" i="3"/>
  <c r="F134" i="3" l="1"/>
  <c r="O134" i="3"/>
  <c r="P134" i="3"/>
  <c r="AA134" i="3" s="1"/>
  <c r="Y133" i="3"/>
  <c r="AC133" i="3" s="1"/>
  <c r="X203" i="3"/>
  <c r="N134" i="3"/>
  <c r="L134" i="3"/>
  <c r="Z133" i="3" s="1"/>
  <c r="M134" i="3"/>
  <c r="K134" i="3"/>
  <c r="J134" i="3"/>
  <c r="G134" i="3"/>
  <c r="D134" i="3"/>
  <c r="X133" i="3" s="1"/>
  <c r="AB133" i="3" s="1"/>
  <c r="E134" i="3"/>
  <c r="C134" i="3"/>
  <c r="H134" i="3"/>
  <c r="I134" i="3"/>
  <c r="B135" i="3"/>
  <c r="F135" i="3" l="1"/>
  <c r="O135" i="3"/>
  <c r="P135" i="3"/>
  <c r="AA135" i="3" s="1"/>
  <c r="Y134" i="3"/>
  <c r="AC134" i="3" s="1"/>
  <c r="N135" i="3"/>
  <c r="L135" i="3"/>
  <c r="Z134" i="3" s="1"/>
  <c r="M135" i="3"/>
  <c r="J135" i="3"/>
  <c r="K135" i="3"/>
  <c r="G135" i="3"/>
  <c r="D135" i="3"/>
  <c r="X134" i="3" s="1"/>
  <c r="AB134" i="3" s="1"/>
  <c r="E135" i="3"/>
  <c r="C135" i="3"/>
  <c r="H135" i="3"/>
  <c r="I135" i="3"/>
  <c r="B136" i="3"/>
  <c r="F136" i="3" l="1"/>
  <c r="O136" i="3"/>
  <c r="P136" i="3"/>
  <c r="AA136" i="3" s="1"/>
  <c r="Y135" i="3"/>
  <c r="AC135" i="3" s="1"/>
  <c r="N136" i="3"/>
  <c r="M136" i="3"/>
  <c r="L136" i="3"/>
  <c r="Z135" i="3" s="1"/>
  <c r="J136" i="3"/>
  <c r="K136" i="3"/>
  <c r="G136" i="3"/>
  <c r="D136" i="3"/>
  <c r="E136" i="3"/>
  <c r="C136" i="3"/>
  <c r="X135" i="3" s="1"/>
  <c r="AB135" i="3" s="1"/>
  <c r="H136" i="3"/>
  <c r="I136" i="3"/>
  <c r="B137" i="3"/>
  <c r="F137" i="3" l="1"/>
  <c r="O137" i="3"/>
  <c r="P137" i="3"/>
  <c r="AA137" i="3" s="1"/>
  <c r="Y136" i="3"/>
  <c r="AC136" i="3" s="1"/>
  <c r="L137" i="3"/>
  <c r="Z136" i="3" s="1"/>
  <c r="AD136" i="3" s="1"/>
  <c r="N137" i="3"/>
  <c r="M137" i="3"/>
  <c r="J137" i="3"/>
  <c r="K137" i="3"/>
  <c r="G137" i="3"/>
  <c r="C137" i="3"/>
  <c r="X136" i="3" s="1"/>
  <c r="AB136" i="3" s="1"/>
  <c r="D137" i="3"/>
  <c r="E137" i="3"/>
  <c r="H137" i="3"/>
  <c r="I137" i="3"/>
  <c r="B138" i="3"/>
  <c r="F138" i="3" l="1"/>
  <c r="O138" i="3"/>
  <c r="P138" i="3"/>
  <c r="AA138" i="3" s="1"/>
  <c r="Y137" i="3"/>
  <c r="AC137" i="3" s="1"/>
  <c r="M138" i="3"/>
  <c r="N138" i="3"/>
  <c r="L138" i="3"/>
  <c r="Z137" i="3" s="1"/>
  <c r="AD137" i="3" s="1"/>
  <c r="J138" i="3"/>
  <c r="G138" i="3"/>
  <c r="K138" i="3"/>
  <c r="C138" i="3"/>
  <c r="X137" i="3" s="1"/>
  <c r="AB137" i="3" s="1"/>
  <c r="D138" i="3"/>
  <c r="E138" i="3"/>
  <c r="I138" i="3"/>
  <c r="H138" i="3"/>
  <c r="B139" i="3"/>
  <c r="F139" i="3" l="1"/>
  <c r="O139" i="3"/>
  <c r="P139" i="3"/>
  <c r="AA139" i="3" s="1"/>
  <c r="Y138" i="3"/>
  <c r="AC138" i="3" s="1"/>
  <c r="M139" i="3"/>
  <c r="N139" i="3"/>
  <c r="L139" i="3"/>
  <c r="Z138" i="3" s="1"/>
  <c r="AD138" i="3" s="1"/>
  <c r="G139" i="3"/>
  <c r="J139" i="3"/>
  <c r="K139" i="3"/>
  <c r="C139" i="3"/>
  <c r="X138" i="3" s="1"/>
  <c r="AB138" i="3" s="1"/>
  <c r="D139" i="3"/>
  <c r="E139" i="3"/>
  <c r="H139" i="3"/>
  <c r="I139" i="3"/>
  <c r="B140" i="3"/>
  <c r="F140" i="3" l="1"/>
  <c r="O140" i="3"/>
  <c r="P140" i="3"/>
  <c r="AA140" i="3" s="1"/>
  <c r="Y139" i="3"/>
  <c r="AC139" i="3" s="1"/>
  <c r="M140" i="3"/>
  <c r="L140" i="3"/>
  <c r="Z139" i="3" s="1"/>
  <c r="AD139" i="3" s="1"/>
  <c r="N140" i="3"/>
  <c r="G140" i="3"/>
  <c r="J140" i="3"/>
  <c r="K140" i="3"/>
  <c r="C140" i="3"/>
  <c r="X139" i="3" s="1"/>
  <c r="AB139" i="3" s="1"/>
  <c r="E140" i="3"/>
  <c r="D140" i="3"/>
  <c r="I140" i="3"/>
  <c r="H140" i="3"/>
  <c r="B141" i="3"/>
  <c r="F141" i="3" l="1"/>
  <c r="O141" i="3"/>
  <c r="P141" i="3"/>
  <c r="AA141" i="3" s="1"/>
  <c r="Y140" i="3"/>
  <c r="AC140" i="3" s="1"/>
  <c r="M141" i="3"/>
  <c r="N141" i="3"/>
  <c r="L141" i="3"/>
  <c r="Z140" i="3" s="1"/>
  <c r="AD140" i="3" s="1"/>
  <c r="G141" i="3"/>
  <c r="K141" i="3"/>
  <c r="J141" i="3"/>
  <c r="E141" i="3"/>
  <c r="X140" i="3" s="1"/>
  <c r="AB140" i="3" s="1"/>
  <c r="D141" i="3"/>
  <c r="C141" i="3"/>
  <c r="H141" i="3"/>
  <c r="I141" i="3"/>
  <c r="B142" i="3"/>
  <c r="F142" i="3" l="1"/>
  <c r="O142" i="3"/>
  <c r="P142" i="3"/>
  <c r="AA142" i="3" s="1"/>
  <c r="Y141" i="3"/>
  <c r="AC141" i="3" s="1"/>
  <c r="L142" i="3"/>
  <c r="Z141" i="3" s="1"/>
  <c r="AD141" i="3" s="1"/>
  <c r="M142" i="3"/>
  <c r="N142" i="3"/>
  <c r="G142" i="3"/>
  <c r="K142" i="3"/>
  <c r="J142" i="3"/>
  <c r="E142" i="3"/>
  <c r="X141" i="3" s="1"/>
  <c r="AB141" i="3" s="1"/>
  <c r="C142" i="3"/>
  <c r="D142" i="3"/>
  <c r="I142" i="3"/>
  <c r="H142" i="3"/>
  <c r="B143" i="3"/>
  <c r="F143" i="3" l="1"/>
  <c r="O143" i="3"/>
  <c r="P143" i="3"/>
  <c r="AA143" i="3" s="1"/>
  <c r="Y142" i="3"/>
  <c r="AC142" i="3" s="1"/>
  <c r="L143" i="3"/>
  <c r="Z142" i="3" s="1"/>
  <c r="AD142" i="3" s="1"/>
  <c r="M143" i="3"/>
  <c r="N143" i="3"/>
  <c r="K143" i="3"/>
  <c r="G143" i="3"/>
  <c r="J143" i="3"/>
  <c r="E143" i="3"/>
  <c r="C143" i="3"/>
  <c r="X142" i="3" s="1"/>
  <c r="AB142" i="3" s="1"/>
  <c r="D143" i="3"/>
  <c r="I143" i="3"/>
  <c r="H143" i="3"/>
  <c r="B144" i="3"/>
  <c r="F144" i="3" l="1"/>
  <c r="O144" i="3"/>
  <c r="P144" i="3"/>
  <c r="AA144" i="3" s="1"/>
  <c r="Y143" i="3"/>
  <c r="AC143" i="3" s="1"/>
  <c r="Z143" i="3"/>
  <c r="AD143" i="3" s="1"/>
  <c r="L144" i="3"/>
  <c r="N144" i="3"/>
  <c r="M144" i="3"/>
  <c r="K144" i="3"/>
  <c r="G144" i="3"/>
  <c r="J144" i="3"/>
  <c r="C144" i="3"/>
  <c r="X143" i="3" s="1"/>
  <c r="AB143" i="3" s="1"/>
  <c r="D144" i="3"/>
  <c r="E144" i="3"/>
  <c r="I144" i="3"/>
  <c r="H144" i="3"/>
  <c r="B145" i="3"/>
  <c r="F145" i="3" l="1"/>
  <c r="O145" i="3"/>
  <c r="P145" i="3"/>
  <c r="AA145" i="3" s="1"/>
  <c r="Y144" i="3"/>
  <c r="AC144" i="3" s="1"/>
  <c r="L145" i="3"/>
  <c r="Z144" i="3" s="1"/>
  <c r="AD144" i="3" s="1"/>
  <c r="M145" i="3"/>
  <c r="N145" i="3"/>
  <c r="K145" i="3"/>
  <c r="G145" i="3"/>
  <c r="J145" i="3"/>
  <c r="D145" i="3"/>
  <c r="X144" i="3" s="1"/>
  <c r="AB144" i="3" s="1"/>
  <c r="C145" i="3"/>
  <c r="E145" i="3"/>
  <c r="H145" i="3"/>
  <c r="I145" i="3"/>
  <c r="B146" i="3"/>
  <c r="F146" i="3" l="1"/>
  <c r="O146" i="3"/>
  <c r="P146" i="3"/>
  <c r="AA146" i="3" s="1"/>
  <c r="Y145" i="3"/>
  <c r="AC145" i="3" s="1"/>
  <c r="N146" i="3"/>
  <c r="L146" i="3"/>
  <c r="Z145" i="3" s="1"/>
  <c r="AD145" i="3" s="1"/>
  <c r="M146" i="3"/>
  <c r="K146" i="3"/>
  <c r="J146" i="3"/>
  <c r="G146" i="3"/>
  <c r="E146" i="3"/>
  <c r="X145" i="3" s="1"/>
  <c r="AB145" i="3" s="1"/>
  <c r="D146" i="3"/>
  <c r="C146" i="3"/>
  <c r="H146" i="3"/>
  <c r="I146" i="3"/>
  <c r="B147" i="3"/>
  <c r="F147" i="3" l="1"/>
  <c r="O147" i="3"/>
  <c r="P147" i="3"/>
  <c r="AA147" i="3" s="1"/>
  <c r="Y146" i="3"/>
  <c r="AC146" i="3" s="1"/>
  <c r="N147" i="3"/>
  <c r="L147" i="3"/>
  <c r="Z146" i="3" s="1"/>
  <c r="AD146" i="3" s="1"/>
  <c r="M147" i="3"/>
  <c r="J147" i="3"/>
  <c r="K147" i="3"/>
  <c r="G147" i="3"/>
  <c r="D147" i="3"/>
  <c r="X146" i="3" s="1"/>
  <c r="AB146" i="3" s="1"/>
  <c r="C147" i="3"/>
  <c r="E147" i="3"/>
  <c r="H147" i="3"/>
  <c r="I147" i="3"/>
  <c r="B148" i="3"/>
  <c r="F148" i="3" l="1"/>
  <c r="O148" i="3"/>
  <c r="P148" i="3"/>
  <c r="AA148" i="3" s="1"/>
  <c r="Y147" i="3"/>
  <c r="AC147" i="3" s="1"/>
  <c r="N148" i="3"/>
  <c r="M148" i="3"/>
  <c r="L148" i="3"/>
  <c r="Z147" i="3" s="1"/>
  <c r="AD147" i="3" s="1"/>
  <c r="J148" i="3"/>
  <c r="K148" i="3"/>
  <c r="G148" i="3"/>
  <c r="D148" i="3"/>
  <c r="X147" i="3" s="1"/>
  <c r="AB147" i="3" s="1"/>
  <c r="C148" i="3"/>
  <c r="E148" i="3"/>
  <c r="H148" i="3"/>
  <c r="I148" i="3"/>
  <c r="B149" i="3"/>
  <c r="F149" i="3" l="1"/>
  <c r="O149" i="3"/>
  <c r="P149" i="3"/>
  <c r="AA149" i="3" s="1"/>
  <c r="Y148" i="3"/>
  <c r="AC148" i="3" s="1"/>
  <c r="N149" i="3"/>
  <c r="L149" i="3"/>
  <c r="Z148" i="3" s="1"/>
  <c r="AD148" i="3" s="1"/>
  <c r="M149" i="3"/>
  <c r="J149" i="3"/>
  <c r="G149" i="3"/>
  <c r="K149" i="3"/>
  <c r="C149" i="3"/>
  <c r="X148" i="3" s="1"/>
  <c r="AB148" i="3" s="1"/>
  <c r="E149" i="3"/>
  <c r="D149" i="3"/>
  <c r="H149" i="3"/>
  <c r="I149" i="3"/>
  <c r="B150" i="3"/>
  <c r="F150" i="3" l="1"/>
  <c r="O150" i="3"/>
  <c r="P150" i="3"/>
  <c r="AA150" i="3" s="1"/>
  <c r="Y149" i="3"/>
  <c r="AC149" i="3" s="1"/>
  <c r="M150" i="3"/>
  <c r="N150" i="3"/>
  <c r="L150" i="3"/>
  <c r="Z149" i="3" s="1"/>
  <c r="AD149" i="3" s="1"/>
  <c r="J150" i="3"/>
  <c r="G150" i="3"/>
  <c r="K150" i="3"/>
  <c r="C150" i="3"/>
  <c r="X149" i="3" s="1"/>
  <c r="AB149" i="3" s="1"/>
  <c r="E150" i="3"/>
  <c r="D150" i="3"/>
  <c r="H150" i="3"/>
  <c r="I150" i="3"/>
  <c r="B151" i="3"/>
  <c r="F151" i="3" l="1"/>
  <c r="O151" i="3"/>
  <c r="P151" i="3"/>
  <c r="AA151" i="3" s="1"/>
  <c r="Y150" i="3"/>
  <c r="AC150" i="3" s="1"/>
  <c r="M151" i="3"/>
  <c r="N151" i="3"/>
  <c r="L151" i="3"/>
  <c r="Z150" i="3" s="1"/>
  <c r="AD150" i="3" s="1"/>
  <c r="G151" i="3"/>
  <c r="J151" i="3"/>
  <c r="K151" i="3"/>
  <c r="C151" i="3"/>
  <c r="X150" i="3" s="1"/>
  <c r="AB150" i="3" s="1"/>
  <c r="D151" i="3"/>
  <c r="E151" i="3"/>
  <c r="I151" i="3"/>
  <c r="H151" i="3"/>
  <c r="B152" i="3"/>
  <c r="F152" i="3" l="1"/>
  <c r="O152" i="3"/>
  <c r="P152" i="3"/>
  <c r="AA152" i="3" s="1"/>
  <c r="Y151" i="3"/>
  <c r="AC151" i="3" s="1"/>
  <c r="M152" i="3"/>
  <c r="L152" i="3"/>
  <c r="Z151" i="3" s="1"/>
  <c r="AD151" i="3" s="1"/>
  <c r="N152" i="3"/>
  <c r="G152" i="3"/>
  <c r="J152" i="3"/>
  <c r="K152" i="3"/>
  <c r="C152" i="3"/>
  <c r="X151" i="3" s="1"/>
  <c r="AB151" i="3" s="1"/>
  <c r="E152" i="3"/>
  <c r="D152" i="3"/>
  <c r="H152" i="3"/>
  <c r="I152" i="3"/>
  <c r="B153" i="3"/>
  <c r="F153" i="3" l="1"/>
  <c r="O153" i="3"/>
  <c r="P153" i="3"/>
  <c r="AA153" i="3" s="1"/>
  <c r="Y152" i="3"/>
  <c r="AC152" i="3" s="1"/>
  <c r="AC163" i="3" s="1"/>
  <c r="L153" i="3"/>
  <c r="Z152" i="3" s="1"/>
  <c r="AD152" i="3" s="1"/>
  <c r="M153" i="3"/>
  <c r="N153" i="3"/>
  <c r="G153" i="3"/>
  <c r="K153" i="3"/>
  <c r="J153" i="3"/>
  <c r="E153" i="3"/>
  <c r="X152" i="3" s="1"/>
  <c r="AB152" i="3" s="1"/>
  <c r="C153" i="3"/>
  <c r="D153" i="3"/>
  <c r="I153" i="3"/>
  <c r="H153" i="3"/>
  <c r="B154" i="3"/>
  <c r="F154" i="3" l="1"/>
  <c r="O154" i="3"/>
  <c r="P154" i="3"/>
  <c r="AA154" i="3" s="1"/>
  <c r="Y153" i="3"/>
  <c r="L154" i="3"/>
  <c r="Z153" i="3" s="1"/>
  <c r="AD153" i="3" s="1"/>
  <c r="M154" i="3"/>
  <c r="N154" i="3"/>
  <c r="G154" i="3"/>
  <c r="K154" i="3"/>
  <c r="J154" i="3"/>
  <c r="D154" i="3"/>
  <c r="X153" i="3" s="1"/>
  <c r="AB153" i="3" s="1"/>
  <c r="E154" i="3"/>
  <c r="C154" i="3"/>
  <c r="I154" i="3"/>
  <c r="H154" i="3"/>
  <c r="B155" i="3"/>
  <c r="F155" i="3" l="1"/>
  <c r="O155" i="3"/>
  <c r="P155" i="3"/>
  <c r="AA155" i="3" s="1"/>
  <c r="Y154" i="3"/>
  <c r="L155" i="3"/>
  <c r="Z154" i="3" s="1"/>
  <c r="AD154" i="3" s="1"/>
  <c r="M155" i="3"/>
  <c r="N155" i="3"/>
  <c r="K155" i="3"/>
  <c r="G155" i="3"/>
  <c r="J155" i="3"/>
  <c r="E155" i="3"/>
  <c r="X154" i="3" s="1"/>
  <c r="AB154" i="3" s="1"/>
  <c r="C155" i="3"/>
  <c r="D155" i="3"/>
  <c r="I155" i="3"/>
  <c r="H155" i="3"/>
  <c r="B156" i="3"/>
  <c r="F156" i="3" l="1"/>
  <c r="O156" i="3"/>
  <c r="P156" i="3"/>
  <c r="AA156" i="3" s="1"/>
  <c r="Y155" i="3"/>
  <c r="L156" i="3"/>
  <c r="Z155" i="3" s="1"/>
  <c r="AD155" i="3" s="1"/>
  <c r="N156" i="3"/>
  <c r="M156" i="3"/>
  <c r="K156" i="3"/>
  <c r="G156" i="3"/>
  <c r="J156" i="3"/>
  <c r="D156" i="3"/>
  <c r="X155" i="3" s="1"/>
  <c r="AB155" i="3" s="1"/>
  <c r="E156" i="3"/>
  <c r="C156" i="3"/>
  <c r="I156" i="3"/>
  <c r="H156" i="3"/>
  <c r="B157" i="3"/>
  <c r="F157" i="3" l="1"/>
  <c r="O157" i="3"/>
  <c r="P157" i="3"/>
  <c r="AA157" i="3" s="1"/>
  <c r="Y156" i="3"/>
  <c r="L157" i="3"/>
  <c r="Z156" i="3" s="1"/>
  <c r="AD156" i="3" s="1"/>
  <c r="M157" i="3"/>
  <c r="N157" i="3"/>
  <c r="K157" i="3"/>
  <c r="J157" i="3"/>
  <c r="G157" i="3"/>
  <c r="D157" i="3"/>
  <c r="X156" i="3" s="1"/>
  <c r="AB156" i="3" s="1"/>
  <c r="C157" i="3"/>
  <c r="E157" i="3"/>
  <c r="I157" i="3"/>
  <c r="H157" i="3"/>
  <c r="B158" i="3"/>
  <c r="F158" i="3" l="1"/>
  <c r="O158" i="3"/>
  <c r="P158" i="3"/>
  <c r="AA158" i="3" s="1"/>
  <c r="Y157" i="3"/>
  <c r="N158" i="3"/>
  <c r="L158" i="3"/>
  <c r="Z157" i="3" s="1"/>
  <c r="AD157" i="3" s="1"/>
  <c r="M158" i="3"/>
  <c r="K158" i="3"/>
  <c r="J158" i="3"/>
  <c r="G158" i="3"/>
  <c r="C158" i="3"/>
  <c r="X157" i="3" s="1"/>
  <c r="AB157" i="3" s="1"/>
  <c r="D158" i="3"/>
  <c r="E158" i="3"/>
  <c r="H158" i="3"/>
  <c r="I158" i="3"/>
  <c r="B159" i="3"/>
  <c r="F159" i="3" l="1"/>
  <c r="O159" i="3"/>
  <c r="P159" i="3"/>
  <c r="AA159" i="3" s="1"/>
  <c r="Y158" i="3"/>
  <c r="N159" i="3"/>
  <c r="L159" i="3"/>
  <c r="Z158" i="3" s="1"/>
  <c r="AD158" i="3" s="1"/>
  <c r="M159" i="3"/>
  <c r="J159" i="3"/>
  <c r="K159" i="3"/>
  <c r="G159" i="3"/>
  <c r="C159" i="3"/>
  <c r="X158" i="3" s="1"/>
  <c r="AB158" i="3" s="1"/>
  <c r="D159" i="3"/>
  <c r="E159" i="3"/>
  <c r="H159" i="3"/>
  <c r="I159" i="3"/>
  <c r="B160" i="3"/>
  <c r="F160" i="3" l="1"/>
  <c r="O160" i="3"/>
  <c r="P160" i="3"/>
  <c r="AA160" i="3" s="1"/>
  <c r="Y159" i="3"/>
  <c r="N160" i="3"/>
  <c r="M160" i="3"/>
  <c r="L160" i="3"/>
  <c r="Z159" i="3" s="1"/>
  <c r="AD159" i="3" s="1"/>
  <c r="J160" i="3"/>
  <c r="K160" i="3"/>
  <c r="G160" i="3"/>
  <c r="C160" i="3"/>
  <c r="X159" i="3" s="1"/>
  <c r="AB159" i="3" s="1"/>
  <c r="D160" i="3"/>
  <c r="E160" i="3"/>
  <c r="H160" i="3"/>
  <c r="I160" i="3"/>
  <c r="Y160" i="3" l="1"/>
  <c r="Z160" i="3"/>
  <c r="AD160" i="3" s="1"/>
  <c r="X160" i="3"/>
  <c r="AB16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Manuel Kälin</author>
  </authors>
  <commentList>
    <comment ref="E168" authorId="0" shapeId="0" xr:uid="{C196AADE-9F89-455F-A1AB-02DE34EE9111}">
      <text>
        <r>
          <rPr>
            <b/>
            <sz val="9"/>
            <color indexed="81"/>
            <rFont val="Segoe UI"/>
            <family val="2"/>
          </rPr>
          <t>Manuel Kälin:</t>
        </r>
        <r>
          <rPr>
            <sz val="9"/>
            <color indexed="81"/>
            <rFont val="Segoe UI"/>
            <family val="2"/>
          </rPr>
          <t xml:space="preserve">
a*exp(x*b)</t>
        </r>
      </text>
    </comment>
  </commentList>
</comments>
</file>

<file path=xl/sharedStrings.xml><?xml version="1.0" encoding="utf-8"?>
<sst xmlns="http://schemas.openxmlformats.org/spreadsheetml/2006/main" count="742" uniqueCount="278">
  <si>
    <t>Country</t>
  </si>
  <si>
    <t>Germany</t>
  </si>
  <si>
    <t>Austria</t>
  </si>
  <si>
    <t>France</t>
  </si>
  <si>
    <t>Denmark</t>
  </si>
  <si>
    <t>Sweden</t>
  </si>
  <si>
    <t>Chemnitz</t>
  </si>
  <si>
    <t>Italy</t>
  </si>
  <si>
    <t>Høje Taastrup</t>
  </si>
  <si>
    <t>Dronninglund</t>
  </si>
  <si>
    <t>Norway</t>
  </si>
  <si>
    <t>Poland</t>
  </si>
  <si>
    <t>Vojens</t>
  </si>
  <si>
    <t>Netherlands</t>
  </si>
  <si>
    <t>Gram</t>
  </si>
  <si>
    <t>Eggenstein</t>
  </si>
  <si>
    <t>Spain</t>
  </si>
  <si>
    <t>Portugal</t>
  </si>
  <si>
    <t>Malmö</t>
  </si>
  <si>
    <t>Crailsheim</t>
  </si>
  <si>
    <t>Anneberg</t>
  </si>
  <si>
    <t>Greece</t>
  </si>
  <si>
    <t>Rostock</t>
  </si>
  <si>
    <t>Hannover-Kronsberg</t>
  </si>
  <si>
    <t>Finland</t>
  </si>
  <si>
    <t>Stuttgart</t>
  </si>
  <si>
    <t>Friedrichshafen</t>
  </si>
  <si>
    <t>ATES</t>
  </si>
  <si>
    <t>BTES</t>
  </si>
  <si>
    <t>PTES</t>
  </si>
  <si>
    <t>TTES</t>
  </si>
  <si>
    <t>Source name</t>
  </si>
  <si>
    <t>IEA factsheet</t>
  </si>
  <si>
    <t>storage type</t>
  </si>
  <si>
    <t>source link</t>
  </si>
  <si>
    <t>comment</t>
  </si>
  <si>
    <t>currency</t>
  </si>
  <si>
    <t>EUR</t>
  </si>
  <si>
    <t>CHF</t>
  </si>
  <si>
    <t>year</t>
  </si>
  <si>
    <t>https://speicher.aeesuisse.ch/wp-content/uploads/sites/15/2021/09/FESS_Fokusstudie_Saisonale_Waermespeicher.pdf</t>
  </si>
  <si>
    <t>Danish Energy Agency</t>
  </si>
  <si>
    <t>Forum Energiespeicher Schweiz</t>
  </si>
  <si>
    <t>Danish energy agency</t>
  </si>
  <si>
    <t xml:space="preserve">https://ens.dk/en/analyses-and-statistics/technology-data-energy-storage </t>
  </si>
  <si>
    <t>PTES (DEA)</t>
  </si>
  <si>
    <t>TTES (DEA)</t>
  </si>
  <si>
    <t>https://www.euroheat.org/dhc/knowledge-hub/large-storage-systems-for-dhc-networks</t>
  </si>
  <si>
    <t>flexynets</t>
  </si>
  <si>
    <r>
      <rPr>
        <sz val="11"/>
        <color theme="1"/>
        <rFont val="Calibri"/>
        <family val="2"/>
        <scheme val="minor"/>
      </rPr>
      <t>used in:</t>
    </r>
    <r>
      <rPr>
        <u/>
        <sz val="11"/>
        <color theme="10"/>
        <rFont val="Calibri"/>
        <family val="2"/>
        <scheme val="minor"/>
      </rPr>
      <t xml:space="preserve"> https://doi.org/10.1016/j.apenergy.2023.121663 </t>
    </r>
  </si>
  <si>
    <t>PTES (flexynets)</t>
  </si>
  <si>
    <t>TTES (flexynets)</t>
  </si>
  <si>
    <t>https://web.archive.org/web/20200814120602/https://www.solarthermalworld.org/sites/gstec/files/news/file/2016-05-28/iea-shc_task_52_stc1-classification_and_benchmarking_2016-03-31_report.pdf</t>
  </si>
  <si>
    <t>IEA SHC task 52</t>
  </si>
  <si>
    <t>PTES (IEA)</t>
  </si>
  <si>
    <t>OPEX [(currency)/kWh] or [% of CAPEX]</t>
  </si>
  <si>
    <t>NL</t>
  </si>
  <si>
    <t>Munich</t>
  </si>
  <si>
    <t>Copenhagen</t>
  </si>
  <si>
    <t>Marseille</t>
  </si>
  <si>
    <t>Jincheon</t>
  </si>
  <si>
    <t>Panningen</t>
  </si>
  <si>
    <t>DE</t>
  </si>
  <si>
    <t>EE</t>
  </si>
  <si>
    <t>IE</t>
  </si>
  <si>
    <t>TR</t>
  </si>
  <si>
    <t>SE</t>
  </si>
  <si>
    <t>DK</t>
  </si>
  <si>
    <t>FR</t>
  </si>
  <si>
    <t>KR</t>
  </si>
  <si>
    <t>AT</t>
  </si>
  <si>
    <t>ES</t>
  </si>
  <si>
    <t>PT</t>
  </si>
  <si>
    <t>CH</t>
  </si>
  <si>
    <t>GR</t>
  </si>
  <si>
    <t>IT</t>
  </si>
  <si>
    <t>PL</t>
  </si>
  <si>
    <t>NO</t>
  </si>
  <si>
    <t>FI</t>
  </si>
  <si>
    <t>Ottrupgaard</t>
  </si>
  <si>
    <t>Steinfurt</t>
  </si>
  <si>
    <t>Osijek</t>
  </si>
  <si>
    <t>HR</t>
  </si>
  <si>
    <t>Okotoks</t>
  </si>
  <si>
    <t>Emmaboda</t>
  </si>
  <si>
    <t>Braedstrup</t>
  </si>
  <si>
    <t>Andalusia</t>
  </si>
  <si>
    <t>Ontario</t>
  </si>
  <si>
    <t>Aberdeen</t>
  </si>
  <si>
    <t>Camborne</t>
  </si>
  <si>
    <t>Brasschaat</t>
  </si>
  <si>
    <t>CA</t>
  </si>
  <si>
    <t>GB</t>
  </si>
  <si>
    <t>BE</t>
  </si>
  <si>
    <t xml:space="preserve">https://www.bfs.admin.ch/bfs/de/home/statistiken/katalog.assetdetail.36483228.html </t>
  </si>
  <si>
    <t>Australia</t>
  </si>
  <si>
    <t>Belgium</t>
  </si>
  <si>
    <t>Canada</t>
  </si>
  <si>
    <t>Chile</t>
  </si>
  <si>
    <t>Colombia</t>
  </si>
  <si>
    <t>Costa Rica</t>
  </si>
  <si>
    <t>Czechia</t>
  </si>
  <si>
    <t>Estonia</t>
  </si>
  <si>
    <t>Hungary</t>
  </si>
  <si>
    <t>Iceland</t>
  </si>
  <si>
    <t>Ireland</t>
  </si>
  <si>
    <t>Israel</t>
  </si>
  <si>
    <t>Japan</t>
  </si>
  <si>
    <t>Latvia</t>
  </si>
  <si>
    <t>Lithuania</t>
  </si>
  <si>
    <t>Luxembourg</t>
  </si>
  <si>
    <t>Mexico</t>
  </si>
  <si>
    <t>New Zealand</t>
  </si>
  <si>
    <t>Slovak Republic</t>
  </si>
  <si>
    <t>Slovenia</t>
  </si>
  <si>
    <t>Türkiye</t>
  </si>
  <si>
    <t>United Kingdom</t>
  </si>
  <si>
    <t>United States</t>
  </si>
  <si>
    <t>South Africa</t>
  </si>
  <si>
    <t>Russia</t>
  </si>
  <si>
    <t>Indonesia</t>
  </si>
  <si>
    <t>India</t>
  </si>
  <si>
    <t>China (People’s Republic of)</t>
  </si>
  <si>
    <t>Brazil</t>
  </si>
  <si>
    <t>inflation:</t>
  </si>
  <si>
    <t xml:space="preserve">https://data-explorer.oecd.org/ </t>
  </si>
  <si>
    <t>national currency / CHF -&gt; this is the value of 1 CHF in the other currency</t>
  </si>
  <si>
    <t>inflation w.r.t. 1970</t>
  </si>
  <si>
    <t>AU</t>
  </si>
  <si>
    <t>CL</t>
  </si>
  <si>
    <t>CO</t>
  </si>
  <si>
    <t>CR</t>
  </si>
  <si>
    <t>CZ</t>
  </si>
  <si>
    <t>HU</t>
  </si>
  <si>
    <t>IS</t>
  </si>
  <si>
    <t>IL</t>
  </si>
  <si>
    <t>JP</t>
  </si>
  <si>
    <t>Korea (South Korea)</t>
  </si>
  <si>
    <t>LV</t>
  </si>
  <si>
    <t>LT</t>
  </si>
  <si>
    <t>LU</t>
  </si>
  <si>
    <t>MX</t>
  </si>
  <si>
    <t>NZ</t>
  </si>
  <si>
    <t>SK</t>
  </si>
  <si>
    <t>SI</t>
  </si>
  <si>
    <t>US</t>
  </si>
  <si>
    <t>EU</t>
  </si>
  <si>
    <t>Non-OECD economies [national currency/CHF]</t>
  </si>
  <si>
    <t>EURO &amp; EU [currency/CHF]</t>
  </si>
  <si>
    <t>[national currency/CHF]</t>
  </si>
  <si>
    <t>Abbr.</t>
  </si>
  <si>
    <t>CAPEX [currency]</t>
  </si>
  <si>
    <t>Hamburg I</t>
  </si>
  <si>
    <t>Martsal II</t>
  </si>
  <si>
    <t>Toflund</t>
  </si>
  <si>
    <t>https://ens.dk/en/analyses-and-statistics/technology-data-energy-storage</t>
  </si>
  <si>
    <t>Eindhoven</t>
  </si>
  <si>
    <t>Bracht</t>
  </si>
  <si>
    <t>CH infl.</t>
  </si>
  <si>
    <t>monetary value 2025 [CHF]</t>
  </si>
  <si>
    <t>the value given for year x is how much we would have to pay for something which was worth 1.- in 1970</t>
  </si>
  <si>
    <t>monetary value [CHF]</t>
  </si>
  <si>
    <t>plant</t>
  </si>
  <si>
    <t>year of op. Start</t>
  </si>
  <si>
    <t>country</t>
  </si>
  <si>
    <t>Meldorf</t>
  </si>
  <si>
    <r>
      <t>capacity [m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]</t>
    </r>
  </si>
  <si>
    <r>
      <t>CAPEX per 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 xml:space="preserve"> [CHF/m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]</t>
    </r>
  </si>
  <si>
    <t>capacity [m3]</t>
  </si>
  <si>
    <t>CAPEX per m3 [CHF/m3]</t>
  </si>
  <si>
    <t>currency of ref.</t>
  </si>
  <si>
    <t>Rottweil</t>
  </si>
  <si>
    <t>Ilmenau</t>
  </si>
  <si>
    <r>
      <rPr>
        <sz val="11"/>
        <color theme="1"/>
        <rFont val="Calibri"/>
        <family val="2"/>
        <scheme val="minor"/>
      </rPr>
      <t>value from:</t>
    </r>
    <r>
      <rPr>
        <u/>
        <sz val="11"/>
        <color theme="10"/>
        <rFont val="Calibri"/>
        <family val="2"/>
        <scheme val="minor"/>
      </rPr>
      <t xml:space="preserve"> https://www.verenum.ch/Dokumente/2012_Mangold_Speicher.pdf </t>
    </r>
  </si>
  <si>
    <t>Neckarsulm I</t>
  </si>
  <si>
    <t>Neckarsulm II</t>
  </si>
  <si>
    <t>data points extracted from other cost curves</t>
  </si>
  <si>
    <t>large scale, not perssurized</t>
  </si>
  <si>
    <t>CAPEX curve factor</t>
  </si>
  <si>
    <t>CAPEX curve constant</t>
  </si>
  <si>
    <t>CAPEX curve exponent</t>
  </si>
  <si>
    <t>MYDATA</t>
  </si>
  <si>
    <t>PTES (MYDATA)</t>
  </si>
  <si>
    <t>TTES (IEA)</t>
  </si>
  <si>
    <t>TTES (MYDATA)</t>
  </si>
  <si>
    <t>BTES (flexynets)</t>
  </si>
  <si>
    <t>BTES (IEA)</t>
  </si>
  <si>
    <t>BTES (MYDATA)</t>
  </si>
  <si>
    <t>ATES (flexynets)</t>
  </si>
  <si>
    <t>Martsal I</t>
  </si>
  <si>
    <t>Zurich</t>
  </si>
  <si>
    <t>Hönggerberg</t>
  </si>
  <si>
    <t>Amersfoort</t>
  </si>
  <si>
    <t>Utrecht</t>
  </si>
  <si>
    <t>Oslo</t>
  </si>
  <si>
    <t>Zwammerdam</t>
  </si>
  <si>
    <t>Agassiz</t>
  </si>
  <si>
    <t>Malle ETAP</t>
  </si>
  <si>
    <t>New Jersey</t>
  </si>
  <si>
    <t>Arlanda</t>
  </si>
  <si>
    <t>PTES avg</t>
  </si>
  <si>
    <t>TTES avg</t>
  </si>
  <si>
    <t>BTES avg</t>
  </si>
  <si>
    <t>ATES avg</t>
  </si>
  <si>
    <t>borehole length [m]</t>
  </si>
  <si>
    <t>source 1</t>
  </si>
  <si>
    <t>source 2</t>
  </si>
  <si>
    <t>source 3</t>
  </si>
  <si>
    <t>SW</t>
  </si>
  <si>
    <t>https://doi.org/10.1115/1.4069122</t>
  </si>
  <si>
    <t>CAPEX per m [CHF/m]</t>
  </si>
  <si>
    <t>storage density BTES</t>
  </si>
  <si>
    <t>source</t>
  </si>
  <si>
    <t>storage density ATES</t>
  </si>
  <si>
    <r>
      <t>volume [m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]</t>
    </r>
  </si>
  <si>
    <t>capacity [MWh]</t>
  </si>
  <si>
    <r>
      <t>LT (0°C to 30°C) [MWh/m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]</t>
    </r>
  </si>
  <si>
    <r>
      <t>HT (20°C to 80°C) [MWh/m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]</t>
    </r>
  </si>
  <si>
    <t>ASME</t>
  </si>
  <si>
    <t>ATES (ASME)</t>
  </si>
  <si>
    <t>ATES (MYDATA)</t>
  </si>
  <si>
    <t>BTES (ASME)</t>
  </si>
  <si>
    <t>Greenwich</t>
  </si>
  <si>
    <t>London</t>
  </si>
  <si>
    <t>Copenhagen II</t>
  </si>
  <si>
    <t>Copenhagen I</t>
  </si>
  <si>
    <t>CAPEX per MWh [CHF/MWh]</t>
  </si>
  <si>
    <t>HT</t>
  </si>
  <si>
    <t>https://doi.org/10.1016/j.rser.2025.116202</t>
  </si>
  <si>
    <t>[MWh/m3]</t>
  </si>
  <si>
    <t>Data collection: individual plants</t>
  </si>
  <si>
    <t>Combining different cost curves</t>
  </si>
  <si>
    <r>
      <t>CAPEX per m</t>
    </r>
    <r>
      <rPr>
        <b/>
        <vertAlign val="superscript"/>
        <sz val="11"/>
        <color theme="0"/>
        <rFont val="Calibri"/>
        <family val="2"/>
        <scheme val="minor"/>
      </rPr>
      <t>3</t>
    </r>
  </si>
  <si>
    <t>CAPEX per m</t>
  </si>
  <si>
    <t>https://iea-es.org/task-39/presentations-publications/</t>
  </si>
  <si>
    <t>temperature [°C]</t>
  </si>
  <si>
    <t>PTES (FESS)</t>
  </si>
  <si>
    <t>TTES (FESS)</t>
  </si>
  <si>
    <t>BTES (FESS)</t>
  </si>
  <si>
    <t>ATES (FESS)</t>
  </si>
  <si>
    <t>ATES (IEA)</t>
  </si>
  <si>
    <t>4% / 7.29%</t>
  </si>
  <si>
    <t>2% / 2.5%</t>
  </si>
  <si>
    <r>
      <t>storage size [m</t>
    </r>
    <r>
      <rPr>
        <b/>
        <vertAlign val="superscript"/>
        <sz val="11"/>
        <color theme="0"/>
        <rFont val="Calibri"/>
        <family val="2"/>
        <scheme val="minor"/>
      </rPr>
      <t>3</t>
    </r>
    <r>
      <rPr>
        <b/>
        <sz val="11"/>
        <color theme="0"/>
        <rFont val="Calibri"/>
        <family val="2"/>
        <scheme val="minor"/>
      </rPr>
      <t>]</t>
    </r>
  </si>
  <si>
    <r>
      <t>storage size [m</t>
    </r>
    <r>
      <rPr>
        <b/>
        <sz val="11"/>
        <color theme="0"/>
        <rFont val="Calibri"/>
        <family val="2"/>
        <scheme val="minor"/>
      </rPr>
      <t>]</t>
    </r>
  </si>
  <si>
    <t>Mannheim</t>
  </si>
  <si>
    <t>Kristianstad</t>
  </si>
  <si>
    <t>Solna</t>
  </si>
  <si>
    <t>Middenmeer</t>
  </si>
  <si>
    <r>
      <t>From "per volume [m</t>
    </r>
    <r>
      <rPr>
        <b/>
        <vertAlign val="superscript"/>
        <sz val="36"/>
        <color theme="1"/>
        <rFont val="Calibri"/>
        <family val="2"/>
        <scheme val="minor"/>
      </rPr>
      <t>3</t>
    </r>
    <r>
      <rPr>
        <b/>
        <sz val="36"/>
        <color theme="1"/>
        <rFont val="Calibri"/>
        <family val="2"/>
        <scheme val="minor"/>
      </rPr>
      <t>]" to "per capacity [MWh]"</t>
    </r>
  </si>
  <si>
    <t>https://www.saisonalspeicher.de/</t>
  </si>
  <si>
    <t>https://doi.org/10.1016/j.rser.2021.110732</t>
  </si>
  <si>
    <t>https://www.solar-district-heating.eu/en/plant-database/#legend</t>
  </si>
  <si>
    <t>https://www.verenum.ch/Dokumente/2012_Mangold_Speicher.pdf</t>
  </si>
  <si>
    <t>SStot</t>
  </si>
  <si>
    <t>SSres</t>
  </si>
  <si>
    <t>R2</t>
  </si>
  <si>
    <t>BTES (per volume)</t>
  </si>
  <si>
    <t>TTES (per volume)</t>
  </si>
  <si>
    <t>PTES (per volume)</t>
  </si>
  <si>
    <t>ATES (per volume)</t>
  </si>
  <si>
    <t>https://www.solarwaerme-bracht.de/technik/</t>
  </si>
  <si>
    <t>https://meldorfwaerme.de/?page_id=30</t>
  </si>
  <si>
    <t>https://www.mega-monheim.de/unternehmen/aktuelles/deutschlands-erster-erdbeckenspeicher-hat-es-schwer?</t>
  </si>
  <si>
    <t>http://www.aee-now.at/cms/fileadmin/downloads/projekte/store4grid/store4grid_stand_der_technik.pdf</t>
  </si>
  <si>
    <t>https://doi.org/10.1016/j.rser.2018.06.057</t>
  </si>
  <si>
    <t>BTES (per energy)</t>
  </si>
  <si>
    <t>ATES (per energy)</t>
  </si>
  <si>
    <r>
      <t>u [MWh/m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]</t>
    </r>
  </si>
  <si>
    <r>
      <t>BTES (energy density u</t>
    </r>
    <r>
      <rPr>
        <b/>
        <sz val="11"/>
        <color theme="1"/>
        <rFont val="Calibri"/>
        <family val="2"/>
        <scheme val="minor"/>
      </rPr>
      <t>)</t>
    </r>
  </si>
  <si>
    <t>ATES (energy density u)</t>
  </si>
  <si>
    <t>PTES (ASME)</t>
  </si>
  <si>
    <t>BTES (per tot. borehole length)</t>
  </si>
  <si>
    <t>ATES (per tot. borehole length)</t>
  </si>
  <si>
    <t>SD:</t>
  </si>
  <si>
    <t>PTES MAPE</t>
  </si>
  <si>
    <t>TTES MAPE</t>
  </si>
  <si>
    <t>BTES MAPE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</si>
</sst>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yyyy"/>
    <numFmt numFmtId="165" formatCode="#,##0.0"/>
    <numFmt numFmtId="166" formatCode="0.000"/>
    <numFmt numFmtId="167" formatCode="#,##0.000"/>
    <numFmt numFmtId="168" formatCode="0.000%"/>
    <numFmt numFmtId="169" formatCode="0.000000000000"/>
  </numFmts>
  <fonts count="1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vertAlign val="superscript"/>
      <sz val="3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61953D"/>
        <bgColor indexed="64"/>
      </patternFill>
    </fill>
    <fill>
      <patternFill patternType="solid">
        <fgColor rgb="FFB381D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0" tint="-0.34998626667073579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theme="4" tint="-0.499984740745262"/>
      </top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4" tint="-0.249977111117893"/>
      </right>
      <top/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/>
      <diagonal/>
    </border>
    <border>
      <left/>
      <right/>
      <top style="thin">
        <color theme="4" tint="-0.249977111117893"/>
      </top>
      <bottom/>
      <diagonal/>
    </border>
    <border>
      <left/>
      <right/>
      <top/>
      <bottom style="thin">
        <color theme="4" tint="-0.249977111117893"/>
      </bottom>
      <diagonal/>
    </border>
    <border>
      <left/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/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  <border>
      <left/>
      <right/>
      <top/>
      <bottom style="thin">
        <color theme="6" tint="0.39997558519241921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8" fillId="2" borderId="0" applyNumberFormat="0" applyBorder="0" applyAlignment="0" applyProtection="0"/>
  </cellStyleXfs>
  <cellXfs count="115">
    <xf numFmtId="0" fontId="0" fillId="0" borderId="0" xfId="0"/>
    <xf numFmtId="1" fontId="0" fillId="0" borderId="0" xfId="0" applyNumberFormat="1"/>
    <xf numFmtId="0" fontId="1" fillId="0" borderId="0" xfId="1"/>
    <xf numFmtId="2" fontId="0" fillId="0" borderId="0" xfId="0" applyNumberFormat="1"/>
    <xf numFmtId="10" fontId="0" fillId="0" borderId="0" xfId="2" applyNumberFormat="1" applyFont="1"/>
    <xf numFmtId="11" fontId="0" fillId="0" borderId="0" xfId="0" applyNumberFormat="1"/>
    <xf numFmtId="164" fontId="9" fillId="0" borderId="0" xfId="0" applyNumberFormat="1" applyFont="1" applyAlignment="1">
      <alignment horizontal="left"/>
    </xf>
    <xf numFmtId="4" fontId="9" fillId="0" borderId="0" xfId="0" applyNumberFormat="1" applyFont="1"/>
    <xf numFmtId="165" fontId="9" fillId="0" borderId="0" xfId="0" applyNumberFormat="1" applyFont="1"/>
    <xf numFmtId="166" fontId="0" fillId="0" borderId="0" xfId="0" applyNumberFormat="1"/>
    <xf numFmtId="4" fontId="1" fillId="0" borderId="0" xfId="1" applyNumberFormat="1"/>
    <xf numFmtId="167" fontId="9" fillId="0" borderId="0" xfId="0" applyNumberFormat="1" applyFont="1"/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164" fontId="10" fillId="0" borderId="0" xfId="0" applyNumberFormat="1" applyFont="1" applyAlignment="1">
      <alignment horizontal="left"/>
    </xf>
    <xf numFmtId="0" fontId="1" fillId="0" borderId="0" xfId="1" applyAlignment="1">
      <alignment horizontal="fill"/>
    </xf>
    <xf numFmtId="166" fontId="12" fillId="0" borderId="0" xfId="0" applyNumberFormat="1" applyFont="1"/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5" fillId="6" borderId="0" xfId="0" applyFont="1" applyFill="1"/>
    <xf numFmtId="0" fontId="5" fillId="0" borderId="0" xfId="0" applyFont="1" applyAlignment="1">
      <alignment horizontal="center"/>
    </xf>
    <xf numFmtId="0" fontId="5" fillId="0" borderId="0" xfId="0" applyFont="1"/>
    <xf numFmtId="0" fontId="1" fillId="0" borderId="0" xfId="1" applyFill="1"/>
    <xf numFmtId="0" fontId="1" fillId="0" borderId="0" xfId="1" applyFill="1" applyBorder="1"/>
    <xf numFmtId="0" fontId="1" fillId="0" borderId="2" xfId="1" applyBorder="1"/>
    <xf numFmtId="0" fontId="0" fillId="8" borderId="3" xfId="0" applyFill="1" applyBorder="1"/>
    <xf numFmtId="0" fontId="0" fillId="0" borderId="3" xfId="0" applyBorder="1"/>
    <xf numFmtId="166" fontId="0" fillId="0" borderId="6" xfId="0" applyNumberFormat="1" applyBorder="1"/>
    <xf numFmtId="0" fontId="0" fillId="0" borderId="10" xfId="0" applyBorder="1"/>
    <xf numFmtId="0" fontId="5" fillId="0" borderId="12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166" fontId="0" fillId="0" borderId="14" xfId="0" applyNumberFormat="1" applyBorder="1"/>
    <xf numFmtId="0" fontId="9" fillId="0" borderId="6" xfId="0" applyFont="1" applyBorder="1"/>
    <xf numFmtId="0" fontId="7" fillId="2" borderId="11" xfId="3" applyFont="1" applyBorder="1" applyAlignment="1">
      <alignment horizontal="center" vertical="center"/>
    </xf>
    <xf numFmtId="0" fontId="0" fillId="0" borderId="12" xfId="0" applyBorder="1"/>
    <xf numFmtId="0" fontId="0" fillId="0" borderId="6" xfId="0" applyBorder="1"/>
    <xf numFmtId="0" fontId="8" fillId="2" borderId="6" xfId="3" applyBorder="1" applyAlignment="1">
      <alignment vertical="center"/>
    </xf>
    <xf numFmtId="0" fontId="7" fillId="3" borderId="0" xfId="0" applyFont="1" applyFill="1"/>
    <xf numFmtId="0" fontId="7" fillId="4" borderId="16" xfId="0" applyFont="1" applyFill="1" applyBorder="1"/>
    <xf numFmtId="0" fontId="7" fillId="5" borderId="16" xfId="0" applyFont="1" applyFill="1" applyBorder="1"/>
    <xf numFmtId="0" fontId="7" fillId="6" borderId="16" xfId="0" applyFont="1" applyFill="1" applyBorder="1"/>
    <xf numFmtId="10" fontId="0" fillId="9" borderId="17" xfId="2" applyNumberFormat="1" applyFont="1" applyFill="1" applyBorder="1"/>
    <xf numFmtId="10" fontId="0" fillId="9" borderId="18" xfId="2" applyNumberFormat="1" applyFont="1" applyFill="1" applyBorder="1"/>
    <xf numFmtId="10" fontId="0" fillId="8" borderId="19" xfId="2" applyNumberFormat="1" applyFont="1" applyFill="1" applyBorder="1"/>
    <xf numFmtId="10" fontId="0" fillId="8" borderId="5" xfId="2" applyNumberFormat="1" applyFont="1" applyFill="1" applyBorder="1"/>
    <xf numFmtId="10" fontId="0" fillId="9" borderId="19" xfId="2" applyNumberFormat="1" applyFont="1" applyFill="1" applyBorder="1"/>
    <xf numFmtId="10" fontId="0" fillId="9" borderId="5" xfId="2" applyNumberFormat="1" applyFont="1" applyFill="1" applyBorder="1"/>
    <xf numFmtId="0" fontId="7" fillId="7" borderId="0" xfId="0" applyFont="1" applyFill="1"/>
    <xf numFmtId="0" fontId="7" fillId="3" borderId="16" xfId="0" applyFont="1" applyFill="1" applyBorder="1"/>
    <xf numFmtId="0" fontId="0" fillId="9" borderId="17" xfId="0" applyFill="1" applyBorder="1"/>
    <xf numFmtId="10" fontId="0" fillId="9" borderId="18" xfId="0" applyNumberFormat="1" applyFill="1" applyBorder="1"/>
    <xf numFmtId="168" fontId="0" fillId="9" borderId="18" xfId="0" applyNumberFormat="1" applyFill="1" applyBorder="1"/>
    <xf numFmtId="0" fontId="0" fillId="8" borderId="19" xfId="0" applyFill="1" applyBorder="1"/>
    <xf numFmtId="10" fontId="0" fillId="8" borderId="5" xfId="0" applyNumberFormat="1" applyFill="1" applyBorder="1"/>
    <xf numFmtId="168" fontId="0" fillId="8" borderId="5" xfId="0" applyNumberFormat="1" applyFill="1" applyBorder="1"/>
    <xf numFmtId="0" fontId="0" fillId="9" borderId="19" xfId="0" applyFill="1" applyBorder="1"/>
    <xf numFmtId="10" fontId="0" fillId="9" borderId="5" xfId="0" applyNumberFormat="1" applyFill="1" applyBorder="1"/>
    <xf numFmtId="168" fontId="0" fillId="9" borderId="5" xfId="0" applyNumberFormat="1" applyFill="1" applyBorder="1"/>
    <xf numFmtId="0" fontId="7" fillId="10" borderId="20" xfId="0" applyFont="1" applyFill="1" applyBorder="1"/>
    <xf numFmtId="0" fontId="7" fillId="3" borderId="21" xfId="0" applyFont="1" applyFill="1" applyBorder="1"/>
    <xf numFmtId="0" fontId="7" fillId="4" borderId="21" xfId="0" applyFont="1" applyFill="1" applyBorder="1"/>
    <xf numFmtId="0" fontId="7" fillId="5" borderId="21" xfId="0" applyFont="1" applyFill="1" applyBorder="1"/>
    <xf numFmtId="0" fontId="7" fillId="6" borderId="22" xfId="0" applyFont="1" applyFill="1" applyBorder="1"/>
    <xf numFmtId="0" fontId="0" fillId="8" borderId="20" xfId="0" applyFill="1" applyBorder="1"/>
    <xf numFmtId="1" fontId="0" fillId="8" borderId="21" xfId="0" applyNumberFormat="1" applyFill="1" applyBorder="1"/>
    <xf numFmtId="1" fontId="0" fillId="8" borderId="22" xfId="0" applyNumberFormat="1" applyFill="1" applyBorder="1"/>
    <xf numFmtId="0" fontId="0" fillId="0" borderId="20" xfId="0" applyBorder="1"/>
    <xf numFmtId="1" fontId="0" fillId="0" borderId="21" xfId="0" applyNumberFormat="1" applyBorder="1"/>
    <xf numFmtId="1" fontId="0" fillId="0" borderId="22" xfId="0" applyNumberFormat="1" applyBorder="1"/>
    <xf numFmtId="1" fontId="0" fillId="0" borderId="2" xfId="0" applyNumberFormat="1" applyBorder="1"/>
    <xf numFmtId="1" fontId="0" fillId="0" borderId="4" xfId="0" applyNumberFormat="1" applyBorder="1"/>
    <xf numFmtId="1" fontId="0" fillId="8" borderId="19" xfId="0" applyNumberFormat="1" applyFill="1" applyBorder="1"/>
    <xf numFmtId="1" fontId="0" fillId="8" borderId="5" xfId="0" applyNumberFormat="1" applyFill="1" applyBorder="1"/>
    <xf numFmtId="1" fontId="0" fillId="9" borderId="19" xfId="0" applyNumberFormat="1" applyFill="1" applyBorder="1"/>
    <xf numFmtId="1" fontId="0" fillId="9" borderId="5" xfId="0" applyNumberFormat="1" applyFill="1" applyBorder="1"/>
    <xf numFmtId="0" fontId="7" fillId="6" borderId="21" xfId="0" applyFont="1" applyFill="1" applyBorder="1"/>
    <xf numFmtId="1" fontId="0" fillId="8" borderId="2" xfId="0" applyNumberFormat="1" applyFill="1" applyBorder="1"/>
    <xf numFmtId="1" fontId="0" fillId="8" borderId="4" xfId="0" applyNumberFormat="1" applyFill="1" applyBorder="1"/>
    <xf numFmtId="0" fontId="7" fillId="5" borderId="20" xfId="0" applyFont="1" applyFill="1" applyBorder="1"/>
    <xf numFmtId="1" fontId="0" fillId="8" borderId="20" xfId="0" applyNumberFormat="1" applyFill="1" applyBorder="1"/>
    <xf numFmtId="1" fontId="0" fillId="0" borderId="20" xfId="0" applyNumberFormat="1" applyBorder="1"/>
    <xf numFmtId="1" fontId="0" fillId="8" borderId="3" xfId="0" applyNumberFormat="1" applyFill="1" applyBorder="1"/>
    <xf numFmtId="2" fontId="0" fillId="8" borderId="21" xfId="0" applyNumberFormat="1" applyFill="1" applyBorder="1"/>
    <xf numFmtId="166" fontId="0" fillId="8" borderId="21" xfId="0" applyNumberFormat="1" applyFill="1" applyBorder="1"/>
    <xf numFmtId="166" fontId="0" fillId="0" borderId="21" xfId="0" applyNumberFormat="1" applyBorder="1"/>
    <xf numFmtId="1" fontId="1" fillId="0" borderId="21" xfId="1" applyNumberFormat="1" applyBorder="1"/>
    <xf numFmtId="0" fontId="5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5" fillId="5" borderId="0" xfId="0" applyFont="1" applyFill="1" applyAlignment="1">
      <alignment horizontal="left"/>
    </xf>
    <xf numFmtId="0" fontId="5" fillId="6" borderId="0" xfId="0" applyFont="1" applyFill="1" applyAlignment="1">
      <alignment horizontal="left"/>
    </xf>
    <xf numFmtId="1" fontId="1" fillId="8" borderId="21" xfId="1" applyNumberFormat="1" applyFill="1" applyBorder="1"/>
    <xf numFmtId="169" fontId="0" fillId="0" borderId="0" xfId="0" applyNumberFormat="1"/>
    <xf numFmtId="0" fontId="5" fillId="0" borderId="0" xfId="0" applyFont="1" applyAlignment="1">
      <alignment horizontal="right"/>
    </xf>
    <xf numFmtId="2" fontId="0" fillId="8" borderId="5" xfId="0" applyNumberFormat="1" applyFill="1" applyBorder="1"/>
    <xf numFmtId="2" fontId="0" fillId="9" borderId="5" xfId="0" applyNumberFormat="1" applyFill="1" applyBorder="1"/>
    <xf numFmtId="9" fontId="5" fillId="0" borderId="0" xfId="2" applyFont="1"/>
    <xf numFmtId="0" fontId="7" fillId="10" borderId="0" xfId="0" applyFont="1" applyFill="1" applyAlignment="1">
      <alignment horizontal="center"/>
    </xf>
    <xf numFmtId="0" fontId="7" fillId="10" borderId="23" xfId="0" applyFont="1" applyFill="1" applyBorder="1" applyAlignment="1">
      <alignment horizontal="center"/>
    </xf>
    <xf numFmtId="0" fontId="14" fillId="10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4" fillId="10" borderId="0" xfId="0" applyFont="1" applyFill="1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7" fillId="2" borderId="1" xfId="3" applyFont="1" applyBorder="1" applyAlignment="1">
      <alignment horizontal="center" vertical="center"/>
    </xf>
    <xf numFmtId="0" fontId="7" fillId="2" borderId="8" xfId="3" applyFont="1" applyBorder="1" applyAlignment="1">
      <alignment horizontal="center" vertical="center"/>
    </xf>
    <xf numFmtId="0" fontId="7" fillId="2" borderId="15" xfId="3" applyFont="1" applyBorder="1" applyAlignment="1">
      <alignment horizontal="center" vertical="center"/>
    </xf>
    <xf numFmtId="0" fontId="7" fillId="2" borderId="9" xfId="3" applyFont="1" applyBorder="1" applyAlignment="1">
      <alignment horizontal="center" vertical="center"/>
    </xf>
  </cellXfs>
  <cellStyles count="4">
    <cellStyle name="Akzent1" xfId="3" builtinId="29"/>
    <cellStyle name="Link" xfId="1" builtinId="8"/>
    <cellStyle name="Prozent" xfId="2" builtinId="5"/>
    <cellStyle name="Standard" xfId="0" builtinId="0"/>
  </cellStyles>
  <dxfs count="53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  <border diagonalUp="0" diagonalDown="0" outline="0">
        <left/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  <border diagonalUp="0" diagonalDown="0">
        <left/>
        <right style="medium">
          <color theme="4" tint="-0.499984740745262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  <border diagonalUp="0" diagonalDown="0">
        <left style="medium">
          <color theme="4" tint="-0.499984740745262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70" formatCode="0.0"/>
      <border diagonalUp="0" diagonalDown="0">
        <left style="medium">
          <color theme="4" tint="-0.499984740745262"/>
        </left>
        <right style="medium">
          <color theme="4" tint="-0.49998474074526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mm/yy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66" formatCode="0.000"/>
    </dxf>
    <dxf>
      <numFmt numFmtId="1" formatCode="0"/>
    </dxf>
    <dxf>
      <numFmt numFmtId="166" formatCode="0.000"/>
    </dxf>
  </dxfs>
  <tableStyles count="0" defaultTableStyle="TableStyleMedium2" defaultPivotStyle="PivotStyleLight16"/>
  <colors>
    <mruColors>
      <color rgb="FFB381D9"/>
      <color rgb="FF61953D"/>
      <color rgb="FFC198E0"/>
      <color rgb="FFFF3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837466928999602"/>
          <c:y val="0.11108447931774128"/>
          <c:w val="0.44965213689979666"/>
          <c:h val="0.6850068425369700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CAPEX!$C$129</c:f>
              <c:strCache>
                <c:ptCount val="1"/>
                <c:pt idx="0">
                  <c:v>PTES (DEA)</c:v>
                </c:pt>
              </c:strCache>
            </c:strRef>
          </c:tx>
          <c:spPr>
            <a:ln w="22225" cap="rnd">
              <a:solidFill>
                <a:srgbClr val="61953D"/>
              </a:solidFill>
              <a:round/>
            </a:ln>
            <a:effectLst/>
          </c:spPr>
          <c:marker>
            <c:symbol val="none"/>
          </c:marker>
          <c:xVal>
            <c:numRef>
              <c:f>CAPEX!$B$141:$B$160</c:f>
              <c:numCache>
                <c:formatCode>General</c:formatCode>
                <c:ptCount val="2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140000</c:v>
                </c:pt>
                <c:pt idx="14">
                  <c:v>150000</c:v>
                </c:pt>
                <c:pt idx="15">
                  <c:v>160000</c:v>
                </c:pt>
                <c:pt idx="16">
                  <c:v>170000</c:v>
                </c:pt>
                <c:pt idx="17">
                  <c:v>180000</c:v>
                </c:pt>
                <c:pt idx="18">
                  <c:v>190000</c:v>
                </c:pt>
                <c:pt idx="19">
                  <c:v>200000</c:v>
                </c:pt>
              </c:numCache>
            </c:numRef>
          </c:xVal>
          <c:yVal>
            <c:numRef>
              <c:f>CAPEX!$C$141:$C$160</c:f>
              <c:numCache>
                <c:formatCode>0</c:formatCode>
                <c:ptCount val="20"/>
                <c:pt idx="0">
                  <c:v>259.16024918684332</c:v>
                </c:pt>
                <c:pt idx="1">
                  <c:v>153.66138668600445</c:v>
                </c:pt>
                <c:pt idx="2">
                  <c:v>118.49509918572483</c:v>
                </c:pt>
                <c:pt idx="3">
                  <c:v>100.911955435585</c:v>
                </c:pt>
                <c:pt idx="4">
                  <c:v>90.362069185501127</c:v>
                </c:pt>
                <c:pt idx="5">
                  <c:v>83.328811685445203</c:v>
                </c:pt>
                <c:pt idx="6">
                  <c:v>78.305056328262381</c:v>
                </c:pt>
                <c:pt idx="7">
                  <c:v>74.537239810375283</c:v>
                </c:pt>
                <c:pt idx="8">
                  <c:v>71.606715852018652</c:v>
                </c:pt>
                <c:pt idx="9">
                  <c:v>69.262296685333354</c:v>
                </c:pt>
                <c:pt idx="10">
                  <c:v>67.344135548954455</c:v>
                </c:pt>
                <c:pt idx="11">
                  <c:v>65.745667935305377</c:v>
                </c:pt>
                <c:pt idx="12">
                  <c:v>64.393118416063857</c:v>
                </c:pt>
                <c:pt idx="13">
                  <c:v>63.233790256713974</c:v>
                </c:pt>
                <c:pt idx="14">
                  <c:v>62.229039185277415</c:v>
                </c:pt>
                <c:pt idx="15">
                  <c:v>61.349881997770424</c:v>
                </c:pt>
                <c:pt idx="16">
                  <c:v>60.574155067617205</c:v>
                </c:pt>
                <c:pt idx="17">
                  <c:v>59.884620018592109</c:v>
                </c:pt>
                <c:pt idx="18">
                  <c:v>59.267667606306503</c:v>
                </c:pt>
                <c:pt idx="19">
                  <c:v>58.71241043524946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B3-4228-9DA8-7480418B1214}"/>
            </c:ext>
          </c:extLst>
        </c:ser>
        <c:ser>
          <c:idx val="1"/>
          <c:order val="1"/>
          <c:tx>
            <c:strRef>
              <c:f>CAPEX!$E$129</c:f>
              <c:strCache>
                <c:ptCount val="1"/>
                <c:pt idx="0">
                  <c:v>PTES (flexynets)</c:v>
                </c:pt>
              </c:strCache>
            </c:strRef>
          </c:tx>
          <c:spPr>
            <a:ln w="22225" cap="rnd">
              <a:solidFill>
                <a:schemeClr val="accent6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CAPEX!$B$133:$B$160</c:f>
              <c:numCache>
                <c:formatCode>General</c:formatCode>
                <c:ptCount val="28"/>
                <c:pt idx="0">
                  <c:v>2000</c:v>
                </c:pt>
                <c:pt idx="1">
                  <c:v>3000</c:v>
                </c:pt>
                <c:pt idx="2">
                  <c:v>4000</c:v>
                </c:pt>
                <c:pt idx="3">
                  <c:v>5000</c:v>
                </c:pt>
                <c:pt idx="4">
                  <c:v>6000</c:v>
                </c:pt>
                <c:pt idx="5">
                  <c:v>7000</c:v>
                </c:pt>
                <c:pt idx="6">
                  <c:v>8000</c:v>
                </c:pt>
                <c:pt idx="7">
                  <c:v>9000</c:v>
                </c:pt>
                <c:pt idx="8">
                  <c:v>10000</c:v>
                </c:pt>
                <c:pt idx="9">
                  <c:v>20000</c:v>
                </c:pt>
                <c:pt idx="10">
                  <c:v>30000</c:v>
                </c:pt>
                <c:pt idx="11">
                  <c:v>40000</c:v>
                </c:pt>
                <c:pt idx="12">
                  <c:v>50000</c:v>
                </c:pt>
                <c:pt idx="13">
                  <c:v>60000</c:v>
                </c:pt>
                <c:pt idx="14">
                  <c:v>70000</c:v>
                </c:pt>
                <c:pt idx="15">
                  <c:v>80000</c:v>
                </c:pt>
                <c:pt idx="16">
                  <c:v>90000</c:v>
                </c:pt>
                <c:pt idx="17">
                  <c:v>100000</c:v>
                </c:pt>
                <c:pt idx="18">
                  <c:v>110000</c:v>
                </c:pt>
                <c:pt idx="19">
                  <c:v>120000</c:v>
                </c:pt>
                <c:pt idx="20">
                  <c:v>130000</c:v>
                </c:pt>
                <c:pt idx="21">
                  <c:v>140000</c:v>
                </c:pt>
                <c:pt idx="22">
                  <c:v>150000</c:v>
                </c:pt>
                <c:pt idx="23">
                  <c:v>160000</c:v>
                </c:pt>
                <c:pt idx="24">
                  <c:v>170000</c:v>
                </c:pt>
                <c:pt idx="25">
                  <c:v>180000</c:v>
                </c:pt>
                <c:pt idx="26">
                  <c:v>190000</c:v>
                </c:pt>
                <c:pt idx="27">
                  <c:v>200000</c:v>
                </c:pt>
              </c:numCache>
            </c:numRef>
          </c:xVal>
          <c:yVal>
            <c:numRef>
              <c:f>CAPEX!$E$133:$E$160</c:f>
              <c:numCache>
                <c:formatCode>0</c:formatCode>
                <c:ptCount val="28"/>
                <c:pt idx="0">
                  <c:v>157.98397101742739</c:v>
                </c:pt>
                <c:pt idx="1">
                  <c:v>135.75470644956047</c:v>
                </c:pt>
                <c:pt idx="2">
                  <c:v>121.9067652241405</c:v>
                </c:pt>
                <c:pt idx="3">
                  <c:v>112.14591601286301</c:v>
                </c:pt>
                <c:pt idx="4">
                  <c:v>104.75377356727599</c:v>
                </c:pt>
                <c:pt idx="5">
                  <c:v>98.885263986971879</c:v>
                </c:pt>
                <c:pt idx="6">
                  <c:v>94.068146987990033</c:v>
                </c:pt>
                <c:pt idx="7">
                  <c:v>90.01430770809371</c:v>
                </c:pt>
                <c:pt idx="8">
                  <c:v>86.536284448237922</c:v>
                </c:pt>
                <c:pt idx="9">
                  <c:v>66.774866106113237</c:v>
                </c:pt>
                <c:pt idx="10">
                  <c:v>57.379253655069398</c:v>
                </c:pt>
                <c:pt idx="11">
                  <c:v>51.52616352688969</c:v>
                </c:pt>
                <c:pt idx="12">
                  <c:v>47.400558916703496</c:v>
                </c:pt>
                <c:pt idx="13">
                  <c:v>44.276132312773292</c:v>
                </c:pt>
                <c:pt idx="14">
                  <c:v>41.795697500661724</c:v>
                </c:pt>
                <c:pt idx="15">
                  <c:v>39.759653333946794</c:v>
                </c:pt>
                <c:pt idx="16">
                  <c:v>38.046222703057566</c:v>
                </c:pt>
                <c:pt idx="17">
                  <c:v>36.57617143143078</c:v>
                </c:pt>
                <c:pt idx="18">
                  <c:v>35.295340827794561</c:v>
                </c:pt>
                <c:pt idx="19">
                  <c:v>34.165238613294648</c:v>
                </c:pt>
                <c:pt idx="20">
                  <c:v>33.157626141201618</c:v>
                </c:pt>
                <c:pt idx="21">
                  <c:v>32.25123567776577</c:v>
                </c:pt>
                <c:pt idx="22">
                  <c:v>31.429691149964491</c:v>
                </c:pt>
                <c:pt idx="23">
                  <c:v>30.680142378747995</c:v>
                </c:pt>
                <c:pt idx="24">
                  <c:v>29.992339789176622</c:v>
                </c:pt>
                <c:pt idx="25">
                  <c:v>29.357990616752936</c:v>
                </c:pt>
                <c:pt idx="26">
                  <c:v>28.770300463992591</c:v>
                </c:pt>
                <c:pt idx="27">
                  <c:v>28.223640124842046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B3-4228-9DA8-7480418B1214}"/>
            </c:ext>
          </c:extLst>
        </c:ser>
        <c:ser>
          <c:idx val="4"/>
          <c:order val="2"/>
          <c:tx>
            <c:strRef>
              <c:f>CAPEX!$D$129</c:f>
              <c:strCache>
                <c:ptCount val="1"/>
                <c:pt idx="0">
                  <c:v>PTES (IEA)</c:v>
                </c:pt>
              </c:strCache>
            </c:strRef>
          </c:tx>
          <c:spPr>
            <a:ln w="22225" cap="rnd">
              <a:solidFill>
                <a:schemeClr val="accent6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CAPEX!$B$133:$B$160</c:f>
              <c:numCache>
                <c:formatCode>General</c:formatCode>
                <c:ptCount val="28"/>
                <c:pt idx="0">
                  <c:v>2000</c:v>
                </c:pt>
                <c:pt idx="1">
                  <c:v>3000</c:v>
                </c:pt>
                <c:pt idx="2">
                  <c:v>4000</c:v>
                </c:pt>
                <c:pt idx="3">
                  <c:v>5000</c:v>
                </c:pt>
                <c:pt idx="4">
                  <c:v>6000</c:v>
                </c:pt>
                <c:pt idx="5">
                  <c:v>7000</c:v>
                </c:pt>
                <c:pt idx="6">
                  <c:v>8000</c:v>
                </c:pt>
                <c:pt idx="7">
                  <c:v>9000</c:v>
                </c:pt>
                <c:pt idx="8">
                  <c:v>10000</c:v>
                </c:pt>
                <c:pt idx="9">
                  <c:v>20000</c:v>
                </c:pt>
                <c:pt idx="10">
                  <c:v>30000</c:v>
                </c:pt>
                <c:pt idx="11">
                  <c:v>40000</c:v>
                </c:pt>
                <c:pt idx="12">
                  <c:v>50000</c:v>
                </c:pt>
                <c:pt idx="13">
                  <c:v>60000</c:v>
                </c:pt>
                <c:pt idx="14">
                  <c:v>70000</c:v>
                </c:pt>
                <c:pt idx="15">
                  <c:v>80000</c:v>
                </c:pt>
                <c:pt idx="16">
                  <c:v>90000</c:v>
                </c:pt>
                <c:pt idx="17">
                  <c:v>100000</c:v>
                </c:pt>
                <c:pt idx="18">
                  <c:v>110000</c:v>
                </c:pt>
                <c:pt idx="19">
                  <c:v>120000</c:v>
                </c:pt>
                <c:pt idx="20">
                  <c:v>130000</c:v>
                </c:pt>
                <c:pt idx="21">
                  <c:v>140000</c:v>
                </c:pt>
                <c:pt idx="22">
                  <c:v>150000</c:v>
                </c:pt>
                <c:pt idx="23">
                  <c:v>160000</c:v>
                </c:pt>
                <c:pt idx="24">
                  <c:v>170000</c:v>
                </c:pt>
                <c:pt idx="25">
                  <c:v>180000</c:v>
                </c:pt>
                <c:pt idx="26">
                  <c:v>190000</c:v>
                </c:pt>
                <c:pt idx="27">
                  <c:v>200000</c:v>
                </c:pt>
              </c:numCache>
            </c:numRef>
          </c:xVal>
          <c:yVal>
            <c:numRef>
              <c:f>CAPEX!$D$133:$D$160</c:f>
              <c:numCache>
                <c:formatCode>0</c:formatCode>
                <c:ptCount val="28"/>
                <c:pt idx="0">
                  <c:v>200.57573981781277</c:v>
                </c:pt>
                <c:pt idx="1">
                  <c:v>162.77976012836092</c:v>
                </c:pt>
                <c:pt idx="2">
                  <c:v>141.14318767673646</c:v>
                </c:pt>
                <c:pt idx="3">
                  <c:v>126.8097957998485</c:v>
                </c:pt>
                <c:pt idx="4">
                  <c:v>116.47532389144483</c:v>
                </c:pt>
                <c:pt idx="5">
                  <c:v>108.5984749966948</c:v>
                </c:pt>
                <c:pt idx="6">
                  <c:v>102.35403304510064</c:v>
                </c:pt>
                <c:pt idx="7">
                  <c:v>97.256369217655305</c:v>
                </c:pt>
                <c:pt idx="8">
                  <c:v>92.999224377475159</c:v>
                </c:pt>
                <c:pt idx="9">
                  <c:v>70.932470791438504</c:v>
                </c:pt>
                <c:pt idx="10">
                  <c:v>61.773522504112009</c:v>
                </c:pt>
                <c:pt idx="11">
                  <c:v>56.530418612437416</c:v>
                </c:pt>
                <c:pt idx="12">
                  <c:v>53.057065201279762</c:v>
                </c:pt>
                <c:pt idx="13">
                  <c:v>50.55275404005026</c:v>
                </c:pt>
                <c:pt idx="14">
                  <c:v>48.643988814572253</c:v>
                </c:pt>
                <c:pt idx="15">
                  <c:v>47.130798221610192</c:v>
                </c:pt>
                <c:pt idx="16">
                  <c:v>45.895501775655745</c:v>
                </c:pt>
                <c:pt idx="17">
                  <c:v>44.863884927429162</c:v>
                </c:pt>
                <c:pt idx="18">
                  <c:v>43.986598977313392</c:v>
                </c:pt>
                <c:pt idx="19">
                  <c:v>43.229425201585997</c:v>
                </c:pt>
                <c:pt idx="20">
                  <c:v>42.567814965628521</c:v>
                </c:pt>
                <c:pt idx="21">
                  <c:v>41.983653535735137</c:v>
                </c:pt>
                <c:pt idx="22">
                  <c:v>41.463252652982362</c:v>
                </c:pt>
                <c:pt idx="23">
                  <c:v>40.996056978242287</c:v>
                </c:pt>
                <c:pt idx="24">
                  <c:v>40.573783117817989</c:v>
                </c:pt>
                <c:pt idx="25">
                  <c:v>40.1898303712425</c:v>
                </c:pt>
                <c:pt idx="26">
                  <c:v>39.838867542299212</c:v>
                </c:pt>
                <c:pt idx="27">
                  <c:v>39.51653696544232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8B-41F4-957C-8730CAC61254}"/>
            </c:ext>
          </c:extLst>
        </c:ser>
        <c:ser>
          <c:idx val="3"/>
          <c:order val="3"/>
          <c:tx>
            <c:strRef>
              <c:f>CAPEX!$F$129</c:f>
              <c:strCache>
                <c:ptCount val="1"/>
                <c:pt idx="0">
                  <c:v>PTES (ASME)</c:v>
                </c:pt>
              </c:strCache>
            </c:strRef>
          </c:tx>
          <c:spPr>
            <a:ln w="22225" cap="rnd">
              <a:solidFill>
                <a:srgbClr val="61953D"/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CAPEX!$B$141:$B$160</c:f>
              <c:numCache>
                <c:formatCode>General</c:formatCode>
                <c:ptCount val="2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140000</c:v>
                </c:pt>
                <c:pt idx="14">
                  <c:v>150000</c:v>
                </c:pt>
                <c:pt idx="15">
                  <c:v>160000</c:v>
                </c:pt>
                <c:pt idx="16">
                  <c:v>170000</c:v>
                </c:pt>
                <c:pt idx="17">
                  <c:v>180000</c:v>
                </c:pt>
                <c:pt idx="18">
                  <c:v>190000</c:v>
                </c:pt>
                <c:pt idx="19">
                  <c:v>200000</c:v>
                </c:pt>
              </c:numCache>
            </c:numRef>
          </c:xVal>
          <c:yVal>
            <c:numRef>
              <c:f>CAPEX!$F$141:$F$160</c:f>
              <c:numCache>
                <c:formatCode>0</c:formatCode>
                <c:ptCount val="20"/>
                <c:pt idx="0">
                  <c:v>140.4032717493524</c:v>
                </c:pt>
                <c:pt idx="1">
                  <c:v>104.65030776865555</c:v>
                </c:pt>
                <c:pt idx="2">
                  <c:v>88.120675182330714</c:v>
                </c:pt>
                <c:pt idx="3">
                  <c:v>78.00165038621931</c:v>
                </c:pt>
                <c:pt idx="4">
                  <c:v>70.960055455608057</c:v>
                </c:pt>
                <c:pt idx="5">
                  <c:v>65.681202893017144</c:v>
                </c:pt>
                <c:pt idx="6">
                  <c:v>61.525571871484374</c:v>
                </c:pt>
                <c:pt idx="7">
                  <c:v>58.138935209097575</c:v>
                </c:pt>
                <c:pt idx="8">
                  <c:v>55.306783793844552</c:v>
                </c:pt>
                <c:pt idx="9">
                  <c:v>52.890445857751168</c:v>
                </c:pt>
                <c:pt idx="10">
                  <c:v>50.795674265851261</c:v>
                </c:pt>
                <c:pt idx="11">
                  <c:v>48.955825685033979</c:v>
                </c:pt>
                <c:pt idx="12">
                  <c:v>47.322234867745003</c:v>
                </c:pt>
                <c:pt idx="13">
                  <c:v>45.858404521282623</c:v>
                </c:pt>
                <c:pt idx="14">
                  <c:v>44.536341068224843</c:v>
                </c:pt>
                <c:pt idx="15">
                  <c:v>43.334157296815619</c:v>
                </c:pt>
                <c:pt idx="16">
                  <c:v>42.23445412962424</c:v>
                </c:pt>
                <c:pt idx="17">
                  <c:v>41.223198530963138</c:v>
                </c:pt>
                <c:pt idx="18">
                  <c:v>40.288927011347923</c:v>
                </c:pt>
                <c:pt idx="19">
                  <c:v>39.4221685012878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71-4F14-A8F4-033151D535EE}"/>
            </c:ext>
          </c:extLst>
        </c:ser>
        <c:ser>
          <c:idx val="2"/>
          <c:order val="4"/>
          <c:tx>
            <c:strRef>
              <c:f>CAPEX!$G$129</c:f>
              <c:strCache>
                <c:ptCount val="1"/>
                <c:pt idx="0">
                  <c:v>PTES (MYDATA)</c:v>
                </c:pt>
              </c:strCache>
            </c:strRef>
          </c:tx>
          <c:spPr>
            <a:ln w="22225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CAPEX!$B$141:$B$160</c:f>
              <c:numCache>
                <c:formatCode>General</c:formatCode>
                <c:ptCount val="2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140000</c:v>
                </c:pt>
                <c:pt idx="14">
                  <c:v>150000</c:v>
                </c:pt>
                <c:pt idx="15">
                  <c:v>160000</c:v>
                </c:pt>
                <c:pt idx="16">
                  <c:v>170000</c:v>
                </c:pt>
                <c:pt idx="17">
                  <c:v>180000</c:v>
                </c:pt>
                <c:pt idx="18">
                  <c:v>190000</c:v>
                </c:pt>
                <c:pt idx="19">
                  <c:v>200000</c:v>
                </c:pt>
              </c:numCache>
            </c:numRef>
          </c:xVal>
          <c:yVal>
            <c:numRef>
              <c:f>CAPEX!$G$141:$G$160</c:f>
              <c:numCache>
                <c:formatCode>0</c:formatCode>
                <c:ptCount val="20"/>
                <c:pt idx="0">
                  <c:v>127.24585887482529</c:v>
                </c:pt>
                <c:pt idx="1">
                  <c:v>94.77764412075966</c:v>
                </c:pt>
                <c:pt idx="2">
                  <c:v>79.775057185090603</c:v>
                </c:pt>
                <c:pt idx="3">
                  <c:v>70.594060227279769</c:v>
                </c:pt>
                <c:pt idx="4">
                  <c:v>64.206856168339414</c:v>
                </c:pt>
                <c:pt idx="5">
                  <c:v>59.419552403977164</c:v>
                </c:pt>
                <c:pt idx="6">
                  <c:v>55.651514847433241</c:v>
                </c:pt>
                <c:pt idx="7">
                  <c:v>52.58119027545267</c:v>
                </c:pt>
                <c:pt idx="8">
                  <c:v>50.013884971651223</c:v>
                </c:pt>
                <c:pt idx="9">
                  <c:v>47.823753305968026</c:v>
                </c:pt>
                <c:pt idx="10">
                  <c:v>45.925275074912975</c:v>
                </c:pt>
                <c:pt idx="11">
                  <c:v>44.257984042521578</c:v>
                </c:pt>
                <c:pt idx="12">
                  <c:v>42.777729772796178</c:v>
                </c:pt>
                <c:pt idx="13">
                  <c:v>41.451403728429902</c:v>
                </c:pt>
                <c:pt idx="14">
                  <c:v>40.253613499067967</c:v>
                </c:pt>
                <c:pt idx="15">
                  <c:v>39.164507068754212</c:v>
                </c:pt>
                <c:pt idx="16">
                  <c:v>38.168304285669826</c:v>
                </c:pt>
                <c:pt idx="17">
                  <c:v>37.252278642740045</c:v>
                </c:pt>
                <c:pt idx="18">
                  <c:v>36.406034560533243</c:v>
                </c:pt>
                <c:pt idx="19">
                  <c:v>35.620983750920196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33-4646-B161-8DAF8E418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728992"/>
        <c:axId val="297729952"/>
      </c:scatterChart>
      <c:valAx>
        <c:axId val="297728992"/>
        <c:scaling>
          <c:orientation val="minMax"/>
          <c:max val="2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/>
                  <a:t>storage volume</a:t>
                </a:r>
                <a:r>
                  <a:rPr lang="de-CH" sz="1400" baseline="0"/>
                  <a:t> [m</a:t>
                </a:r>
                <a:r>
                  <a:rPr lang="de-CH" sz="1400" baseline="30000"/>
                  <a:t>3</a:t>
                </a:r>
                <a:r>
                  <a:rPr lang="de-CH" sz="1400" baseline="0"/>
                  <a:t>]</a:t>
                </a:r>
                <a:endParaRPr lang="de-CH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97729952"/>
        <c:crosses val="autoZero"/>
        <c:crossBetween val="midCat"/>
        <c:dispUnits>
          <c:builtInUnit val="thousands"/>
        </c:dispUnits>
      </c:valAx>
      <c:valAx>
        <c:axId val="297729952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 baseline="0"/>
                  <a:t>CAPEX [CHF/m</a:t>
                </a:r>
                <a:r>
                  <a:rPr lang="de-CH" sz="1400" baseline="30000"/>
                  <a:t>3</a:t>
                </a:r>
                <a:r>
                  <a:rPr lang="de-CH" sz="1400" baseline="0"/>
                  <a:t>]</a:t>
                </a:r>
                <a:endParaRPr lang="de-CH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97728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837466928999602"/>
          <c:y val="0.150165873015873"/>
          <c:w val="0.44388535406346091"/>
          <c:h val="0.64592579365079361"/>
        </c:manualLayout>
      </c:layout>
      <c:scatterChart>
        <c:scatterStyle val="smoothMarker"/>
        <c:varyColors val="0"/>
        <c:ser>
          <c:idx val="1"/>
          <c:order val="0"/>
          <c:tx>
            <c:strRef>
              <c:f>CAPEX!$O$129</c:f>
              <c:strCache>
                <c:ptCount val="1"/>
                <c:pt idx="0">
                  <c:v>ATES (flexynets)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CAPEX!$B$133:$B$160</c:f>
              <c:numCache>
                <c:formatCode>General</c:formatCode>
                <c:ptCount val="28"/>
                <c:pt idx="0">
                  <c:v>2000</c:v>
                </c:pt>
                <c:pt idx="1">
                  <c:v>3000</c:v>
                </c:pt>
                <c:pt idx="2">
                  <c:v>4000</c:v>
                </c:pt>
                <c:pt idx="3">
                  <c:v>5000</c:v>
                </c:pt>
                <c:pt idx="4">
                  <c:v>6000</c:v>
                </c:pt>
                <c:pt idx="5">
                  <c:v>7000</c:v>
                </c:pt>
                <c:pt idx="6">
                  <c:v>8000</c:v>
                </c:pt>
                <c:pt idx="7">
                  <c:v>9000</c:v>
                </c:pt>
                <c:pt idx="8">
                  <c:v>10000</c:v>
                </c:pt>
                <c:pt idx="9">
                  <c:v>20000</c:v>
                </c:pt>
                <c:pt idx="10">
                  <c:v>30000</c:v>
                </c:pt>
                <c:pt idx="11">
                  <c:v>40000</c:v>
                </c:pt>
                <c:pt idx="12">
                  <c:v>50000</c:v>
                </c:pt>
                <c:pt idx="13">
                  <c:v>60000</c:v>
                </c:pt>
                <c:pt idx="14">
                  <c:v>70000</c:v>
                </c:pt>
                <c:pt idx="15">
                  <c:v>80000</c:v>
                </c:pt>
                <c:pt idx="16">
                  <c:v>90000</c:v>
                </c:pt>
                <c:pt idx="17">
                  <c:v>100000</c:v>
                </c:pt>
                <c:pt idx="18">
                  <c:v>110000</c:v>
                </c:pt>
                <c:pt idx="19">
                  <c:v>120000</c:v>
                </c:pt>
                <c:pt idx="20">
                  <c:v>130000</c:v>
                </c:pt>
                <c:pt idx="21">
                  <c:v>140000</c:v>
                </c:pt>
                <c:pt idx="22">
                  <c:v>150000</c:v>
                </c:pt>
                <c:pt idx="23">
                  <c:v>160000</c:v>
                </c:pt>
                <c:pt idx="24">
                  <c:v>170000</c:v>
                </c:pt>
                <c:pt idx="25">
                  <c:v>180000</c:v>
                </c:pt>
                <c:pt idx="26">
                  <c:v>190000</c:v>
                </c:pt>
                <c:pt idx="27">
                  <c:v>200000</c:v>
                </c:pt>
              </c:numCache>
            </c:numRef>
          </c:xVal>
          <c:yVal>
            <c:numRef>
              <c:f>CAPEX!$O$133:$O$160</c:f>
              <c:numCache>
                <c:formatCode>0</c:formatCode>
                <c:ptCount val="28"/>
                <c:pt idx="0">
                  <c:v>83.305926416551173</c:v>
                </c:pt>
                <c:pt idx="1">
                  <c:v>80.060621103073501</c:v>
                </c:pt>
                <c:pt idx="2">
                  <c:v>77.83500520842172</c:v>
                </c:pt>
                <c:pt idx="3">
                  <c:v>76.151379929244811</c:v>
                </c:pt>
                <c:pt idx="4">
                  <c:v>74.802827705054213</c:v>
                </c:pt>
                <c:pt idx="5">
                  <c:v>73.68129156567008</c:v>
                </c:pt>
                <c:pt idx="6">
                  <c:v>72.723373911023174</c:v>
                </c:pt>
                <c:pt idx="7">
                  <c:v>71.888773151473998</c:v>
                </c:pt>
                <c:pt idx="8">
                  <c:v>71.150316770784372</c:v>
                </c:pt>
                <c:pt idx="9">
                  <c:v>66.477686698344826</c:v>
                </c:pt>
                <c:pt idx="10">
                  <c:v>63.887950299627086</c:v>
                </c:pt>
                <c:pt idx="11">
                  <c:v>62.111920639795812</c:v>
                </c:pt>
                <c:pt idx="12">
                  <c:v>60.768396611662581</c:v>
                </c:pt>
                <c:pt idx="13">
                  <c:v>59.692259101255075</c:v>
                </c:pt>
                <c:pt idx="14">
                  <c:v>58.797279220447507</c:v>
                </c:pt>
                <c:pt idx="15">
                  <c:v>58.032866021199084</c:v>
                </c:pt>
                <c:pt idx="16">
                  <c:v>57.366859049089022</c:v>
                </c:pt>
                <c:pt idx="17">
                  <c:v>56.777574780519558</c:v>
                </c:pt>
                <c:pt idx="18">
                  <c:v>56.249718686666441</c:v>
                </c:pt>
                <c:pt idx="19">
                  <c:v>55.772110075539025</c:v>
                </c:pt>
                <c:pt idx="20">
                  <c:v>55.33633469255313</c:v>
                </c:pt>
                <c:pt idx="21">
                  <c:v>54.935905897990253</c:v>
                </c:pt>
                <c:pt idx="22">
                  <c:v>54.565720557804994</c:v>
                </c:pt>
                <c:pt idx="23">
                  <c:v>54.221693741613997</c:v>
                </c:pt>
                <c:pt idx="24">
                  <c:v>53.900506179857153</c:v>
                </c:pt>
                <c:pt idx="25">
                  <c:v>53.599425214356707</c:v>
                </c:pt>
                <c:pt idx="26">
                  <c:v>53.31617503566239</c:v>
                </c:pt>
                <c:pt idx="27">
                  <c:v>53.048840807144202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96-4D02-B86C-C72968FD184A}"/>
            </c:ext>
          </c:extLst>
        </c:ser>
        <c:ser>
          <c:idx val="0"/>
          <c:order val="1"/>
          <c:tx>
            <c:strRef>
              <c:f>CAPEX!$P$129</c:f>
              <c:strCache>
                <c:ptCount val="1"/>
                <c:pt idx="0">
                  <c:v>ATES (MYDATA)</c:v>
                </c:pt>
              </c:strCache>
            </c:strRef>
          </c:tx>
          <c:spPr>
            <a:ln w="22225" cap="rnd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CAPEX!$B$132:$B$160</c:f>
              <c:numCache>
                <c:formatCode>General</c:formatCode>
                <c:ptCount val="2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20000</c:v>
                </c:pt>
                <c:pt idx="11">
                  <c:v>30000</c:v>
                </c:pt>
                <c:pt idx="12">
                  <c:v>40000</c:v>
                </c:pt>
                <c:pt idx="13">
                  <c:v>50000</c:v>
                </c:pt>
                <c:pt idx="14">
                  <c:v>60000</c:v>
                </c:pt>
                <c:pt idx="15">
                  <c:v>70000</c:v>
                </c:pt>
                <c:pt idx="16">
                  <c:v>80000</c:v>
                </c:pt>
                <c:pt idx="17">
                  <c:v>90000</c:v>
                </c:pt>
                <c:pt idx="18">
                  <c:v>100000</c:v>
                </c:pt>
                <c:pt idx="19">
                  <c:v>110000</c:v>
                </c:pt>
                <c:pt idx="20">
                  <c:v>120000</c:v>
                </c:pt>
                <c:pt idx="21">
                  <c:v>130000</c:v>
                </c:pt>
                <c:pt idx="22">
                  <c:v>140000</c:v>
                </c:pt>
                <c:pt idx="23">
                  <c:v>150000</c:v>
                </c:pt>
                <c:pt idx="24">
                  <c:v>160000</c:v>
                </c:pt>
                <c:pt idx="25">
                  <c:v>170000</c:v>
                </c:pt>
                <c:pt idx="26">
                  <c:v>180000</c:v>
                </c:pt>
                <c:pt idx="27">
                  <c:v>190000</c:v>
                </c:pt>
                <c:pt idx="28">
                  <c:v>200000</c:v>
                </c:pt>
              </c:numCache>
            </c:numRef>
          </c:xVal>
          <c:yVal>
            <c:numRef>
              <c:f>CAPEX!$P$132:$P$160</c:f>
              <c:numCache>
                <c:formatCode>0</c:formatCode>
                <c:ptCount val="29"/>
                <c:pt idx="0">
                  <c:v>361.99070240307441</c:v>
                </c:pt>
                <c:pt idx="1">
                  <c:v>226.72644000645053</c:v>
                </c:pt>
                <c:pt idx="2">
                  <c:v>172.44101443243241</c:v>
                </c:pt>
                <c:pt idx="3">
                  <c:v>142.00607434596355</c:v>
                </c:pt>
                <c:pt idx="4">
                  <c:v>122.1497726704813</c:v>
                </c:pt>
                <c:pt idx="5">
                  <c:v>108.00536326988906</c:v>
                </c:pt>
                <c:pt idx="6">
                  <c:v>97.33213256997098</c:v>
                </c:pt>
                <c:pt idx="7">
                  <c:v>88.942979700901319</c:v>
                </c:pt>
                <c:pt idx="8">
                  <c:v>82.145489541815891</c:v>
                </c:pt>
                <c:pt idx="9">
                  <c:v>76.506338205166657</c:v>
                </c:pt>
                <c:pt idx="10">
                  <c:v>47.918384599481421</c:v>
                </c:pt>
                <c:pt idx="11">
                  <c:v>36.445219402125865</c:v>
                </c:pt>
                <c:pt idx="12">
                  <c:v>30.01282817204223</c:v>
                </c:pt>
                <c:pt idx="13">
                  <c:v>25.816220575760024</c:v>
                </c:pt>
                <c:pt idx="14">
                  <c:v>22.826815151448592</c:v>
                </c:pt>
                <c:pt idx="15">
                  <c:v>20.571039541056127</c:v>
                </c:pt>
                <c:pt idx="16">
                  <c:v>18.798001276826835</c:v>
                </c:pt>
                <c:pt idx="17">
                  <c:v>17.361359181864398</c:v>
                </c:pt>
                <c:pt idx="18">
                  <c:v>16.169530727465546</c:v>
                </c:pt>
                <c:pt idx="19">
                  <c:v>15.16203006601096</c:v>
                </c:pt>
                <c:pt idx="20">
                  <c:v>14.297169793633048</c:v>
                </c:pt>
                <c:pt idx="21">
                  <c:v>13.545207212073178</c:v>
                </c:pt>
                <c:pt idx="22">
                  <c:v>12.884304849305895</c:v>
                </c:pt>
                <c:pt idx="23">
                  <c:v>12.298037588651844</c:v>
                </c:pt>
                <c:pt idx="24">
                  <c:v>11.773793858345964</c:v>
                </c:pt>
                <c:pt idx="25">
                  <c:v>11.301716112130473</c:v>
                </c:pt>
                <c:pt idx="26">
                  <c:v>10.873978626650999</c:v>
                </c:pt>
                <c:pt idx="27">
                  <c:v>10.484283002174736</c:v>
                </c:pt>
                <c:pt idx="28">
                  <c:v>10.1274980657681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0E-42EB-B280-6B8DF297D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728992"/>
        <c:axId val="297729952"/>
      </c:scatterChart>
      <c:valAx>
        <c:axId val="297728992"/>
        <c:scaling>
          <c:orientation val="minMax"/>
          <c:max val="2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/>
                  <a:t>storage volume</a:t>
                </a:r>
                <a:r>
                  <a:rPr lang="de-CH" sz="1400" baseline="0"/>
                  <a:t> [m</a:t>
                </a:r>
                <a:r>
                  <a:rPr lang="de-CH" sz="1400" baseline="30000"/>
                  <a:t>3</a:t>
                </a:r>
                <a:r>
                  <a:rPr lang="de-CH" sz="1400" baseline="0"/>
                  <a:t>]</a:t>
                </a:r>
                <a:endParaRPr lang="de-CH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97729952"/>
        <c:crosses val="autoZero"/>
        <c:crossBetween val="midCat"/>
        <c:majorUnit val="100000"/>
        <c:dispUnits>
          <c:builtInUnit val="thousands"/>
        </c:dispUnits>
      </c:valAx>
      <c:valAx>
        <c:axId val="297729952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 baseline="0"/>
                  <a:t>CAPEX [CHF/m</a:t>
                </a:r>
                <a:r>
                  <a:rPr lang="de-CH" sz="1400" baseline="30000"/>
                  <a:t>3</a:t>
                </a:r>
                <a:r>
                  <a:rPr lang="de-CH" sz="1400" baseline="0"/>
                  <a:t>]</a:t>
                </a:r>
                <a:endParaRPr lang="de-CH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97728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837466928999602"/>
          <c:y val="0.17032445111537867"/>
          <c:w val="0.47656970727397407"/>
          <c:h val="0.62576697764614297"/>
        </c:manualLayout>
      </c:layout>
      <c:scatterChart>
        <c:scatterStyle val="smoothMarker"/>
        <c:varyColors val="0"/>
        <c:ser>
          <c:idx val="1"/>
          <c:order val="0"/>
          <c:tx>
            <c:strRef>
              <c:f>CAPEX!$C$174</c:f>
              <c:strCache>
                <c:ptCount val="1"/>
                <c:pt idx="0">
                  <c:v>BTES (ASME)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CAPEX!$B$187:$B$203</c:f>
              <c:numCache>
                <c:formatCode>General</c:formatCode>
                <c:ptCount val="17"/>
                <c:pt idx="0">
                  <c:v>40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100</c:v>
                </c:pt>
                <c:pt idx="7">
                  <c:v>200</c:v>
                </c:pt>
                <c:pt idx="8">
                  <c:v>300</c:v>
                </c:pt>
                <c:pt idx="9">
                  <c:v>400</c:v>
                </c:pt>
                <c:pt idx="10">
                  <c:v>500</c:v>
                </c:pt>
                <c:pt idx="11">
                  <c:v>600</c:v>
                </c:pt>
                <c:pt idx="12">
                  <c:v>700</c:v>
                </c:pt>
                <c:pt idx="13">
                  <c:v>800</c:v>
                </c:pt>
                <c:pt idx="14">
                  <c:v>900</c:v>
                </c:pt>
                <c:pt idx="15">
                  <c:v>1000</c:v>
                </c:pt>
                <c:pt idx="16">
                  <c:v>2000</c:v>
                </c:pt>
              </c:numCache>
            </c:numRef>
          </c:xVal>
          <c:yVal>
            <c:numRef>
              <c:f>CAPEX!$C$187:$C$203</c:f>
              <c:numCache>
                <c:formatCode>0</c:formatCode>
                <c:ptCount val="17"/>
                <c:pt idx="0">
                  <c:v>1825.5842580994015</c:v>
                </c:pt>
                <c:pt idx="1">
                  <c:v>1579.4550972879026</c:v>
                </c:pt>
                <c:pt idx="2">
                  <c:v>1403.1970244143824</c:v>
                </c:pt>
                <c:pt idx="3">
                  <c:v>1269.6095736127088</c:v>
                </c:pt>
                <c:pt idx="4">
                  <c:v>1164.2156017647592</c:v>
                </c:pt>
                <c:pt idx="5">
                  <c:v>1078.5379423545437</c:v>
                </c:pt>
                <c:pt idx="6">
                  <c:v>1007.2535728719722</c:v>
                </c:pt>
                <c:pt idx="7">
                  <c:v>642.34796025886692</c:v>
                </c:pt>
                <c:pt idx="8">
                  <c:v>493.72727797963506</c:v>
                </c:pt>
                <c:pt idx="9">
                  <c:v>409.63955170916199</c:v>
                </c:pt>
                <c:pt idx="10">
                  <c:v>354.41107422308778</c:v>
                </c:pt>
                <c:pt idx="11">
                  <c:v>314.86084385891974</c:v>
                </c:pt>
                <c:pt idx="12">
                  <c:v>284.88539724911033</c:v>
                </c:pt>
                <c:pt idx="13">
                  <c:v>261.23623441858183</c:v>
                </c:pt>
                <c:pt idx="14">
                  <c:v>242.01117929632207</c:v>
                </c:pt>
                <c:pt idx="15">
                  <c:v>226.01580848330272</c:v>
                </c:pt>
                <c:pt idx="16">
                  <c:v>144.1352976803602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C1-4B55-9275-BC489642C91A}"/>
            </c:ext>
          </c:extLst>
        </c:ser>
        <c:ser>
          <c:idx val="2"/>
          <c:order val="1"/>
          <c:tx>
            <c:strRef>
              <c:f>CAPEX!$D$174</c:f>
              <c:strCache>
                <c:ptCount val="1"/>
                <c:pt idx="0">
                  <c:v>BTES (MYDATA)</c:v>
                </c:pt>
              </c:strCache>
            </c:strRef>
          </c:tx>
          <c:spPr>
            <a:ln w="22225" cap="rnd">
              <a:solidFill>
                <a:schemeClr val="tx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CAPEX!$B$187:$B$203</c:f>
              <c:numCache>
                <c:formatCode>General</c:formatCode>
                <c:ptCount val="17"/>
                <c:pt idx="0">
                  <c:v>40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100</c:v>
                </c:pt>
                <c:pt idx="7">
                  <c:v>200</c:v>
                </c:pt>
                <c:pt idx="8">
                  <c:v>300</c:v>
                </c:pt>
                <c:pt idx="9">
                  <c:v>400</c:v>
                </c:pt>
                <c:pt idx="10">
                  <c:v>500</c:v>
                </c:pt>
                <c:pt idx="11">
                  <c:v>600</c:v>
                </c:pt>
                <c:pt idx="12">
                  <c:v>700</c:v>
                </c:pt>
                <c:pt idx="13">
                  <c:v>800</c:v>
                </c:pt>
                <c:pt idx="14">
                  <c:v>900</c:v>
                </c:pt>
                <c:pt idx="15">
                  <c:v>1000</c:v>
                </c:pt>
                <c:pt idx="16">
                  <c:v>2000</c:v>
                </c:pt>
              </c:numCache>
            </c:numRef>
          </c:xVal>
          <c:yVal>
            <c:numRef>
              <c:f>CAPEX!$D$187:$D$203</c:f>
              <c:numCache>
                <c:formatCode>0</c:formatCode>
                <c:ptCount val="17"/>
                <c:pt idx="0">
                  <c:v>9864.253338969078</c:v>
                </c:pt>
                <c:pt idx="1">
                  <c:v>8121.8618155932199</c:v>
                </c:pt>
                <c:pt idx="2">
                  <c:v>6929.2898940346104</c:v>
                </c:pt>
                <c:pt idx="3">
                  <c:v>6058.6808655207633</c:v>
                </c:pt>
                <c:pt idx="4">
                  <c:v>5393.4553938869331</c:v>
                </c:pt>
                <c:pt idx="5">
                  <c:v>4867.5816390364753</c:v>
                </c:pt>
                <c:pt idx="6">
                  <c:v>4440.771938070845</c:v>
                </c:pt>
                <c:pt idx="7">
                  <c:v>2428.0707864416127</c:v>
                </c:pt>
                <c:pt idx="8">
                  <c:v>1705.6340489577183</c:v>
                </c:pt>
                <c:pt idx="9">
                  <c:v>1327.5907491282494</c:v>
                </c:pt>
                <c:pt idx="10">
                  <c:v>1093.0891818727778</c:v>
                </c:pt>
                <c:pt idx="11">
                  <c:v>932.58565501417161</c:v>
                </c:pt>
                <c:pt idx="12">
                  <c:v>815.41383747817792</c:v>
                </c:pt>
                <c:pt idx="13">
                  <c:v>725.88377860016328</c:v>
                </c:pt>
                <c:pt idx="14">
                  <c:v>655.10851481098643</c:v>
                </c:pt>
                <c:pt idx="15">
                  <c:v>597.66588928537556</c:v>
                </c:pt>
                <c:pt idx="16">
                  <c:v>326.78442083132126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2C1-4B55-9275-BC489642C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728992"/>
        <c:axId val="297729952"/>
      </c:scatterChart>
      <c:valAx>
        <c:axId val="29772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 baseline="0"/>
                  <a:t>tot. borehole length [m]</a:t>
                </a:r>
                <a:endParaRPr lang="de-CH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97729952"/>
        <c:crosses val="autoZero"/>
        <c:crossBetween val="midCat"/>
        <c:dispUnits>
          <c:builtInUnit val="thousands"/>
        </c:dispUnits>
      </c:valAx>
      <c:valAx>
        <c:axId val="29772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 baseline="0"/>
                  <a:t>CAPEX [CHF/m]</a:t>
                </a:r>
                <a:endParaRPr lang="de-CH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97728992"/>
        <c:crosses val="autoZero"/>
        <c:crossBetween val="midCat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837466928999602"/>
          <c:y val="0.17032445111537867"/>
          <c:w val="0.4706733083951255"/>
          <c:h val="0.62576697764614297"/>
        </c:manualLayout>
      </c:layout>
      <c:scatterChart>
        <c:scatterStyle val="smoothMarker"/>
        <c:varyColors val="0"/>
        <c:ser>
          <c:idx val="1"/>
          <c:order val="0"/>
          <c:tx>
            <c:strRef>
              <c:f>CAPEX!$E$174</c:f>
              <c:strCache>
                <c:ptCount val="1"/>
                <c:pt idx="0">
                  <c:v>ATES (ASME)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CAPEX!$B$187:$B$203</c:f>
              <c:numCache>
                <c:formatCode>General</c:formatCode>
                <c:ptCount val="17"/>
                <c:pt idx="0">
                  <c:v>40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100</c:v>
                </c:pt>
                <c:pt idx="7">
                  <c:v>200</c:v>
                </c:pt>
                <c:pt idx="8">
                  <c:v>300</c:v>
                </c:pt>
                <c:pt idx="9">
                  <c:v>400</c:v>
                </c:pt>
                <c:pt idx="10">
                  <c:v>500</c:v>
                </c:pt>
                <c:pt idx="11">
                  <c:v>600</c:v>
                </c:pt>
                <c:pt idx="12">
                  <c:v>700</c:v>
                </c:pt>
                <c:pt idx="13">
                  <c:v>800</c:v>
                </c:pt>
                <c:pt idx="14">
                  <c:v>900</c:v>
                </c:pt>
                <c:pt idx="15">
                  <c:v>1000</c:v>
                </c:pt>
                <c:pt idx="16">
                  <c:v>2000</c:v>
                </c:pt>
              </c:numCache>
            </c:numRef>
          </c:xVal>
          <c:yVal>
            <c:numRef>
              <c:f>CAPEX!$E$187:$E$203</c:f>
              <c:numCache>
                <c:formatCode>0</c:formatCode>
                <c:ptCount val="17"/>
                <c:pt idx="0">
                  <c:v>13432.099725206546</c:v>
                </c:pt>
                <c:pt idx="1">
                  <c:v>13087.366089392775</c:v>
                </c:pt>
                <c:pt idx="2">
                  <c:v>12751.480011451018</c:v>
                </c:pt>
                <c:pt idx="3">
                  <c:v>12424.214419601303</c:v>
                </c:pt>
                <c:pt idx="4">
                  <c:v>12105.348069840553</c:v>
                </c:pt>
                <c:pt idx="5">
                  <c:v>11794.665396373193</c:v>
                </c:pt>
                <c:pt idx="6">
                  <c:v>11491.956365880491</c:v>
                </c:pt>
                <c:pt idx="7">
                  <c:v>8860.8911798975423</c:v>
                </c:pt>
                <c:pt idx="8">
                  <c:v>6832.2041958928321</c:v>
                </c:pt>
                <c:pt idx="9">
                  <c:v>5267.9818797769485</c:v>
                </c:pt>
                <c:pt idx="10">
                  <c:v>4061.8857823864678</c:v>
                </c:pt>
                <c:pt idx="11">
                  <c:v>3131.9234738620462</c:v>
                </c:pt>
                <c:pt idx="12">
                  <c:v>2414.8745611367449</c:v>
                </c:pt>
                <c:pt idx="13">
                  <c:v>1861.9928598811778</c:v>
                </c:pt>
                <c:pt idx="14">
                  <c:v>1435.6925473663</c:v>
                </c:pt>
                <c:pt idx="15">
                  <c:v>1106.993015373147</c:v>
                </c:pt>
                <c:pt idx="16">
                  <c:v>82.220332310038742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1B-433D-9B23-93DA9388E7BB}"/>
            </c:ext>
          </c:extLst>
        </c:ser>
        <c:ser>
          <c:idx val="2"/>
          <c:order val="1"/>
          <c:tx>
            <c:strRef>
              <c:f>CAPEX!$F$174</c:f>
              <c:strCache>
                <c:ptCount val="1"/>
                <c:pt idx="0">
                  <c:v>ATES (MYDATA)</c:v>
                </c:pt>
              </c:strCache>
            </c:strRef>
          </c:tx>
          <c:spPr>
            <a:ln w="22225" cap="rnd">
              <a:solidFill>
                <a:schemeClr val="tx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CAPEX!$B$187:$B$203</c:f>
              <c:numCache>
                <c:formatCode>General</c:formatCode>
                <c:ptCount val="17"/>
                <c:pt idx="0">
                  <c:v>40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100</c:v>
                </c:pt>
                <c:pt idx="7">
                  <c:v>200</c:v>
                </c:pt>
                <c:pt idx="8">
                  <c:v>300</c:v>
                </c:pt>
                <c:pt idx="9">
                  <c:v>400</c:v>
                </c:pt>
                <c:pt idx="10">
                  <c:v>500</c:v>
                </c:pt>
                <c:pt idx="11">
                  <c:v>600</c:v>
                </c:pt>
                <c:pt idx="12">
                  <c:v>700</c:v>
                </c:pt>
                <c:pt idx="13">
                  <c:v>800</c:v>
                </c:pt>
                <c:pt idx="14">
                  <c:v>900</c:v>
                </c:pt>
                <c:pt idx="15">
                  <c:v>1000</c:v>
                </c:pt>
                <c:pt idx="16">
                  <c:v>2000</c:v>
                </c:pt>
              </c:numCache>
            </c:numRef>
          </c:xVal>
          <c:yVal>
            <c:numRef>
              <c:f>CAPEX!$F$187:$F$203</c:f>
              <c:numCache>
                <c:formatCode>0</c:formatCode>
                <c:ptCount val="17"/>
                <c:pt idx="0">
                  <c:v>13748.803351181075</c:v>
                </c:pt>
                <c:pt idx="1">
                  <c:v>12608.511394569026</c:v>
                </c:pt>
                <c:pt idx="2">
                  <c:v>11747.392832504765</c:v>
                </c:pt>
                <c:pt idx="3">
                  <c:v>11065.375022423543</c:v>
                </c:pt>
                <c:pt idx="4">
                  <c:v>10506.674115281297</c:v>
                </c:pt>
                <c:pt idx="5">
                  <c:v>10037.327237597699</c:v>
                </c:pt>
                <c:pt idx="6">
                  <c:v>9635.2763886296816</c:v>
                </c:pt>
                <c:pt idx="7">
                  <c:v>7363.1651017322974</c:v>
                </c:pt>
                <c:pt idx="8">
                  <c:v>6291.3106494616286</c:v>
                </c:pt>
                <c:pt idx="9">
                  <c:v>5626.844330002551</c:v>
                </c:pt>
                <c:pt idx="10">
                  <c:v>5160.1676915546786</c:v>
                </c:pt>
                <c:pt idx="11">
                  <c:v>4807.7457407385018</c:v>
                </c:pt>
                <c:pt idx="12">
                  <c:v>4528.6226818370442</c:v>
                </c:pt>
                <c:pt idx="13">
                  <c:v>4299.9683799882514</c:v>
                </c:pt>
                <c:pt idx="14">
                  <c:v>4107.8831671852413</c:v>
                </c:pt>
                <c:pt idx="15">
                  <c:v>3943.339571491581</c:v>
                </c:pt>
                <c:pt idx="16">
                  <c:v>3013.4538072359519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1B-433D-9B23-93DA9388E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728992"/>
        <c:axId val="297729952"/>
      </c:scatterChart>
      <c:valAx>
        <c:axId val="29772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 baseline="0"/>
                  <a:t>tot. borehole length [m]</a:t>
                </a:r>
                <a:endParaRPr lang="de-CH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97729952"/>
        <c:crosses val="autoZero"/>
        <c:crossBetween val="midCat"/>
        <c:dispUnits>
          <c:builtInUnit val="thousands"/>
        </c:dispUnits>
      </c:valAx>
      <c:valAx>
        <c:axId val="29772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 baseline="0"/>
                  <a:t>CAPEX [CHF/m]</a:t>
                </a:r>
                <a:endParaRPr lang="de-CH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97728992"/>
        <c:crosses val="autoZero"/>
        <c:crossBetween val="midCat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tot.</a:t>
            </a:r>
            <a:r>
              <a:rPr lang="de-CH" baseline="0"/>
              <a:t> borehole length vs capacity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CAPEX!$B$85:$L$85</c:f>
              <c:strCache>
                <c:ptCount val="1"/>
                <c:pt idx="0">
                  <c:v>ATES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3115DBB-E5D1-4AF6-B985-A4E9C76BEB09}" type="CELLRANGE">
                      <a:rPr lang="en-US"/>
                      <a:pPr/>
                      <a:t>[ZELLBEREICH]</a:t>
                    </a:fld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FB66-479A-BA34-D383EF420E0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B66-479A-BA34-D383EF420E0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B52720B-A1EC-4744-95B4-28576226D72E}" type="CELLRANGE">
                      <a:rPr lang="de-CH"/>
                      <a:pPr/>
                      <a:t>[ZELLBEREICH]</a:t>
                    </a:fld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B66-479A-BA34-D383EF420E01}"/>
                </c:ext>
              </c:extLst>
            </c:dLbl>
            <c:dLbl>
              <c:idx val="3"/>
              <c:layout>
                <c:manualLayout>
                  <c:x val="-7.8965676308015334E-2"/>
                  <c:y val="-0.21563622258092779"/>
                </c:manualLayout>
              </c:layout>
              <c:tx>
                <c:rich>
                  <a:bodyPr/>
                  <a:lstStyle/>
                  <a:p>
                    <a:fld id="{78546454-8113-4987-AE3B-83C0EEFBEF47}" type="CELLRANGE">
                      <a:rPr lang="en-US"/>
                      <a:pPr/>
                      <a:t>[ZELLBEREICH]</a:t>
                    </a:fld>
                    <a:endParaRPr lang="de-CH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B66-479A-BA34-D383EF420E01}"/>
                </c:ext>
              </c:extLst>
            </c:dLbl>
            <c:dLbl>
              <c:idx val="4"/>
              <c:layout>
                <c:manualLayout>
                  <c:x val="-7.1540644239191989E-4"/>
                  <c:y val="-5.6721348398963922E-2"/>
                </c:manualLayout>
              </c:layout>
              <c:tx>
                <c:rich>
                  <a:bodyPr/>
                  <a:lstStyle/>
                  <a:p>
                    <a:fld id="{95995C25-D48D-407E-AFE7-290111C77A51}" type="CELLRANGE">
                      <a:rPr lang="en-US"/>
                      <a:pPr/>
                      <a:t>[ZELLBEREICH]</a:t>
                    </a:fld>
                    <a:endParaRPr lang="de-CH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FB66-479A-BA34-D383EF420E0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E596085-5A5B-4262-B2C9-5B2265500295}" type="CELLRANGE">
                      <a:rPr lang="de-CH"/>
                      <a:pPr/>
                      <a:t>[ZELLBEREICH]</a:t>
                    </a:fld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B66-479A-BA34-D383EF420E0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66DD3EF-9EFF-42BB-A4F9-DB2FC93071B5}" type="CELLRANGE">
                      <a:rPr lang="de-CH"/>
                      <a:pPr/>
                      <a:t>[ZELLBEREICH]</a:t>
                    </a:fld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B66-479A-BA34-D383EF420E0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B66-479A-BA34-D383EF420E0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B66-479A-BA34-D383EF420E01}"/>
                </c:ext>
              </c:extLst>
            </c:dLbl>
            <c:dLbl>
              <c:idx val="9"/>
              <c:layout>
                <c:manualLayout>
                  <c:x val="5.1430651928031836E-3"/>
                  <c:y val="-2.2362486794334836E-3"/>
                </c:manualLayout>
              </c:layout>
              <c:tx>
                <c:rich>
                  <a:bodyPr/>
                  <a:lstStyle/>
                  <a:p>
                    <a:fld id="{A42C9941-DBD2-40E0-BEF8-06CDF0B5926D}" type="CELLRANGE">
                      <a:rPr lang="en-US"/>
                      <a:pPr/>
                      <a:t>[ZELLBEREICH]</a:t>
                    </a:fld>
                    <a:endParaRPr lang="de-CH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FB66-479A-BA34-D383EF420E0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870A661-4A3C-407F-9FAF-A5196522A05B}" type="CELLRANGE">
                      <a:rPr lang="de-CH"/>
                      <a:pPr/>
                      <a:t>[ZELLBEREICH]</a:t>
                    </a:fld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B66-479A-BA34-D383EF420E0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B66-479A-BA34-D383EF420E0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B66-479A-BA34-D383EF420E0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B66-479A-BA34-D383EF420E0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B66-479A-BA34-D383EF420E0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56D6619-0308-49D7-A92C-7E068FAD0238}" type="CELLRANGE">
                      <a:rPr lang="de-CH"/>
                      <a:pPr/>
                      <a:t>[ZELLBEREICH]</a:t>
                    </a:fld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B66-479A-BA34-D383EF420E0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B66-479A-BA34-D383EF420E0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B66-479A-BA34-D383EF420E0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B66-479A-BA34-D383EF420E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bg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CAPEX!$E$87:$E$105</c:f>
              <c:numCache>
                <c:formatCode>0</c:formatCode>
                <c:ptCount val="19"/>
                <c:pt idx="0">
                  <c:v>520</c:v>
                </c:pt>
                <c:pt idx="1">
                  <c:v>480</c:v>
                </c:pt>
                <c:pt idx="2">
                  <c:v>810</c:v>
                </c:pt>
                <c:pt idx="3">
                  <c:v>300</c:v>
                </c:pt>
                <c:pt idx="4">
                  <c:v>40</c:v>
                </c:pt>
                <c:pt idx="5">
                  <c:v>130</c:v>
                </c:pt>
                <c:pt idx="6">
                  <c:v>750</c:v>
                </c:pt>
                <c:pt idx="7">
                  <c:v>300</c:v>
                </c:pt>
                <c:pt idx="8">
                  <c:v>134</c:v>
                </c:pt>
                <c:pt idx="9">
                  <c:v>360</c:v>
                </c:pt>
                <c:pt idx="10">
                  <c:v>220</c:v>
                </c:pt>
                <c:pt idx="11">
                  <c:v>1100</c:v>
                </c:pt>
                <c:pt idx="12">
                  <c:v>2880</c:v>
                </c:pt>
                <c:pt idx="13">
                  <c:v>120</c:v>
                </c:pt>
                <c:pt idx="14">
                  <c:v>560</c:v>
                </c:pt>
                <c:pt idx="15">
                  <c:v>1100</c:v>
                </c:pt>
              </c:numCache>
            </c:numRef>
          </c:xVal>
          <c:yVal>
            <c:numRef>
              <c:f>CAPEX!$G$87:$G$105</c:f>
              <c:numCache>
                <c:formatCode>0</c:formatCode>
                <c:ptCount val="19"/>
                <c:pt idx="0">
                  <c:v>6000</c:v>
                </c:pt>
                <c:pt idx="2">
                  <c:v>22000</c:v>
                </c:pt>
                <c:pt idx="3">
                  <c:v>1400</c:v>
                </c:pt>
                <c:pt idx="4">
                  <c:v>622</c:v>
                </c:pt>
                <c:pt idx="5">
                  <c:v>6125</c:v>
                </c:pt>
                <c:pt idx="6">
                  <c:v>3900</c:v>
                </c:pt>
                <c:pt idx="9">
                  <c:v>2025</c:v>
                </c:pt>
                <c:pt idx="10">
                  <c:v>20000</c:v>
                </c:pt>
                <c:pt idx="15">
                  <c:v>22000</c:v>
                </c:pt>
                <c:pt idx="16">
                  <c:v>1800</c:v>
                </c:pt>
                <c:pt idx="17">
                  <c:v>5200</c:v>
                </c:pt>
                <c:pt idx="18">
                  <c:v>28000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CAPEX!$B$87:$B$102</c15:f>
                <c15:dlblRangeCache>
                  <c:ptCount val="16"/>
                  <c:pt idx="0">
                    <c:v>Utrecht</c:v>
                  </c:pt>
                  <c:pt idx="1">
                    <c:v>Amersfoort</c:v>
                  </c:pt>
                  <c:pt idx="2">
                    <c:v>Oslo</c:v>
                  </c:pt>
                  <c:pt idx="3">
                    <c:v>Zwammerdam</c:v>
                  </c:pt>
                  <c:pt idx="4">
                    <c:v>Rostock</c:v>
                  </c:pt>
                  <c:pt idx="5">
                    <c:v>Brasschaat</c:v>
                  </c:pt>
                  <c:pt idx="6">
                    <c:v>Malmö</c:v>
                  </c:pt>
                  <c:pt idx="7">
                    <c:v>Agassiz</c:v>
                  </c:pt>
                  <c:pt idx="8">
                    <c:v>Malle ETAP</c:v>
                  </c:pt>
                  <c:pt idx="9">
                    <c:v>New Jersey</c:v>
                  </c:pt>
                  <c:pt idx="10">
                    <c:v>Arlanda</c:v>
                  </c:pt>
                  <c:pt idx="11">
                    <c:v>Copenhagen I</c:v>
                  </c:pt>
                  <c:pt idx="12">
                    <c:v>Eindhoven</c:v>
                  </c:pt>
                  <c:pt idx="13">
                    <c:v>Greenwich</c:v>
                  </c:pt>
                  <c:pt idx="14">
                    <c:v>London</c:v>
                  </c:pt>
                  <c:pt idx="15">
                    <c:v>Copenhagen II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1-FB66-479A-BA34-D383EF420E0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48395200"/>
        <c:axId val="1348394240"/>
      </c:scatterChart>
      <c:valAx>
        <c:axId val="1348395200"/>
        <c:scaling>
          <c:orientation val="minMax"/>
          <c:max val="15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tot. borehole</a:t>
                </a:r>
                <a:r>
                  <a:rPr lang="de-CH" baseline="0"/>
                  <a:t> length</a:t>
                </a:r>
                <a:r>
                  <a:rPr lang="de-CH"/>
                  <a:t>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8394240"/>
        <c:crosses val="autoZero"/>
        <c:crossBetween val="midCat"/>
      </c:valAx>
      <c:valAx>
        <c:axId val="134839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baseline="0"/>
                  <a:t>capacity [MWh]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839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tot.</a:t>
            </a:r>
            <a:r>
              <a:rPr lang="de-CH" baseline="0"/>
              <a:t> borehole length vs capacity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CAPEX!$B$67</c:f>
              <c:strCache>
                <c:ptCount val="1"/>
                <c:pt idx="0">
                  <c:v>BTES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811-42EE-AF35-760EF1E0552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811-42EE-AF35-760EF1E0552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811-42EE-AF35-760EF1E05522}"/>
                </c:ext>
              </c:extLst>
            </c:dLbl>
            <c:dLbl>
              <c:idx val="3"/>
              <c:layout>
                <c:manualLayout>
                  <c:x val="5.1621435093407324E-2"/>
                  <c:y val="-5.9819231452652104E-2"/>
                </c:manualLayout>
              </c:layout>
              <c:tx>
                <c:rich>
                  <a:bodyPr/>
                  <a:lstStyle/>
                  <a:p>
                    <a:fld id="{03C67856-B6AB-493E-BF92-7D2D90018D63}" type="CELLRANGE">
                      <a:rPr lang="en-US"/>
                      <a:pPr/>
                      <a:t>[ZELLBEREICH]</a:t>
                    </a:fld>
                    <a:endParaRPr lang="de-CH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811-42EE-AF35-760EF1E0552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811-42EE-AF35-760EF1E05522}"/>
                </c:ext>
              </c:extLst>
            </c:dLbl>
            <c:dLbl>
              <c:idx val="5"/>
              <c:layout>
                <c:manualLayout>
                  <c:x val="-7.7648030317478564E-2"/>
                  <c:y val="5.9885559566660973E-2"/>
                </c:manualLayout>
              </c:layout>
              <c:tx>
                <c:rich>
                  <a:bodyPr/>
                  <a:lstStyle/>
                  <a:p>
                    <a:fld id="{5904FDE3-CBA0-4210-A2D6-9F3362B66847}" type="CELLRANGE">
                      <a:rPr lang="en-US"/>
                      <a:pPr/>
                      <a:t>[ZELLBEREICH]</a:t>
                    </a:fld>
                    <a:endParaRPr lang="de-CH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F811-42EE-AF35-760EF1E05522}"/>
                </c:ext>
              </c:extLst>
            </c:dLbl>
            <c:dLbl>
              <c:idx val="6"/>
              <c:layout>
                <c:manualLayout>
                  <c:x val="0.1004090389887394"/>
                  <c:y val="-9.4972662491104518E-2"/>
                </c:manualLayout>
              </c:layout>
              <c:tx>
                <c:rich>
                  <a:bodyPr/>
                  <a:lstStyle/>
                  <a:p>
                    <a:fld id="{DCD80E51-995D-40AC-AB6D-B79665168A9A}" type="CELLRANGE">
                      <a:rPr lang="en-US"/>
                      <a:pPr/>
                      <a:t>[ZELLBEREICH]</a:t>
                    </a:fld>
                    <a:endParaRPr lang="de-CH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F811-42EE-AF35-760EF1E05522}"/>
                </c:ext>
              </c:extLst>
            </c:dLbl>
            <c:dLbl>
              <c:idx val="7"/>
              <c:layout>
                <c:manualLayout>
                  <c:x val="-2.3931562819974786E-2"/>
                  <c:y val="-0.12616467309569177"/>
                </c:manualLayout>
              </c:layout>
              <c:tx>
                <c:rich>
                  <a:bodyPr/>
                  <a:lstStyle/>
                  <a:p>
                    <a:fld id="{8AB3377E-3B95-40C9-A95D-D8D0AA6E7EE5}" type="CELLRANGE">
                      <a:rPr lang="en-US"/>
                      <a:pPr/>
                      <a:t>[ZELLBEREICH]</a:t>
                    </a:fld>
                    <a:endParaRPr lang="de-CH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F811-42EE-AF35-760EF1E05522}"/>
                </c:ext>
              </c:extLst>
            </c:dLbl>
            <c:dLbl>
              <c:idx val="8"/>
              <c:layout>
                <c:manualLayout>
                  <c:x val="7.4498620717609529E-2"/>
                  <c:y val="-5.514968036662718E-2"/>
                </c:manualLayout>
              </c:layout>
              <c:tx>
                <c:rich>
                  <a:bodyPr/>
                  <a:lstStyle/>
                  <a:p>
                    <a:fld id="{FD7982C7-412A-4FCE-BF25-440457E575DE}" type="CELLRANGE">
                      <a:rPr lang="en-US"/>
                      <a:pPr/>
                      <a:t>[ZELLBEREICH]</a:t>
                    </a:fld>
                    <a:endParaRPr lang="de-CH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F811-42EE-AF35-760EF1E05522}"/>
                </c:ext>
              </c:extLst>
            </c:dLbl>
            <c:dLbl>
              <c:idx val="9"/>
              <c:layout>
                <c:manualLayout>
                  <c:x val="2.4852099888463201E-2"/>
                  <c:y val="6.6834302247440868E-3"/>
                </c:manualLayout>
              </c:layout>
              <c:tx>
                <c:rich>
                  <a:bodyPr/>
                  <a:lstStyle/>
                  <a:p>
                    <a:fld id="{A40481EB-E034-4118-B15E-18F78F0626EE}" type="CELLRANGE">
                      <a:rPr lang="en-US"/>
                      <a:pPr/>
                      <a:t>[ZELLBEREICH]</a:t>
                    </a:fld>
                    <a:endParaRPr lang="de-CH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F811-42EE-AF35-760EF1E0552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B995B52-0C82-44F5-AFF9-48AA4F2672A7}" type="CELLRANGE">
                      <a:rPr lang="de-CH"/>
                      <a:pPr/>
                      <a:t>[ZELLBEREICH]</a:t>
                    </a:fld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811-42EE-AF35-760EF1E0552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de-CH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811-42EE-AF35-760EF1E05522}"/>
                </c:ext>
              </c:extLst>
            </c:dLbl>
            <c:dLbl>
              <c:idx val="12"/>
              <c:layout>
                <c:manualLayout>
                  <c:x val="1.7977373071906218E-2"/>
                  <c:y val="-5.6367957291737353E-2"/>
                </c:manualLayout>
              </c:layout>
              <c:tx>
                <c:rich>
                  <a:bodyPr/>
                  <a:lstStyle/>
                  <a:p>
                    <a:fld id="{D829DAEA-270B-4783-9EF9-C575558AA5BA}" type="CELLRANGE">
                      <a:rPr lang="en-US"/>
                      <a:pPr/>
                      <a:t>[ZELLBEREICH]</a:t>
                    </a:fld>
                    <a:endParaRPr lang="de-CH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F811-42EE-AF35-760EF1E055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bg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CAPEX!$G$69:$G$81</c:f>
              <c:numCache>
                <c:formatCode>0</c:formatCode>
                <c:ptCount val="13"/>
                <c:pt idx="3">
                  <c:v>2160</c:v>
                </c:pt>
                <c:pt idx="5">
                  <c:v>21000</c:v>
                </c:pt>
                <c:pt idx="6">
                  <c:v>5040</c:v>
                </c:pt>
                <c:pt idx="7">
                  <c:v>3600</c:v>
                </c:pt>
                <c:pt idx="8">
                  <c:v>4400</c:v>
                </c:pt>
                <c:pt idx="9">
                  <c:v>17388</c:v>
                </c:pt>
                <c:pt idx="10">
                  <c:v>172244</c:v>
                </c:pt>
                <c:pt idx="12">
                  <c:v>32200</c:v>
                </c:pt>
              </c:numCache>
            </c:numRef>
          </c:xVal>
          <c:yVal>
            <c:numRef>
              <c:f>CAPEX!$F$69:$F$81</c:f>
              <c:numCache>
                <c:formatCode>0</c:formatCode>
                <c:ptCount val="13"/>
                <c:pt idx="0">
                  <c:v>624</c:v>
                </c:pt>
                <c:pt idx="1">
                  <c:v>1044</c:v>
                </c:pt>
                <c:pt idx="2">
                  <c:v>1080</c:v>
                </c:pt>
                <c:pt idx="3">
                  <c:v>260</c:v>
                </c:pt>
                <c:pt idx="4">
                  <c:v>426.4</c:v>
                </c:pt>
                <c:pt idx="5">
                  <c:v>3600</c:v>
                </c:pt>
                <c:pt idx="6">
                  <c:v>650</c:v>
                </c:pt>
                <c:pt idx="7">
                  <c:v>930</c:v>
                </c:pt>
                <c:pt idx="8">
                  <c:v>580</c:v>
                </c:pt>
                <c:pt idx="9">
                  <c:v>290</c:v>
                </c:pt>
                <c:pt idx="10">
                  <c:v>619</c:v>
                </c:pt>
                <c:pt idx="12">
                  <c:v>1350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CAPEX!$B$69:$B$81</c15:f>
                <c15:dlblRangeCache>
                  <c:ptCount val="13"/>
                  <c:pt idx="0">
                    <c:v>Aberdeen</c:v>
                  </c:pt>
                  <c:pt idx="1">
                    <c:v>Andalusia</c:v>
                  </c:pt>
                  <c:pt idx="2">
                    <c:v>Anneberg</c:v>
                  </c:pt>
                  <c:pt idx="3">
                    <c:v>Braedstrup</c:v>
                  </c:pt>
                  <c:pt idx="4">
                    <c:v>Camborne</c:v>
                  </c:pt>
                  <c:pt idx="5">
                    <c:v>Emmaboda</c:v>
                  </c:pt>
                  <c:pt idx="6">
                    <c:v>Okotoks</c:v>
                  </c:pt>
                  <c:pt idx="7">
                    <c:v>Ontario</c:v>
                  </c:pt>
                  <c:pt idx="8">
                    <c:v>Crailsheim</c:v>
                  </c:pt>
                  <c:pt idx="9">
                    <c:v>Neckarsulm I</c:v>
                  </c:pt>
                  <c:pt idx="10">
                    <c:v>Neckarsulm II</c:v>
                  </c:pt>
                  <c:pt idx="11">
                    <c:v>Zurich</c:v>
                  </c:pt>
                  <c:pt idx="12">
                    <c:v>Hönggerberg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F811-42EE-AF35-760EF1E0552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48395200"/>
        <c:axId val="1348394240"/>
      </c:scatterChart>
      <c:valAx>
        <c:axId val="134839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tot. borehole</a:t>
                </a:r>
                <a:r>
                  <a:rPr lang="de-CH" baseline="0"/>
                  <a:t> length</a:t>
                </a:r>
                <a:r>
                  <a:rPr lang="de-CH"/>
                  <a:t>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8394240"/>
        <c:crosses val="autoZero"/>
        <c:crossBetween val="midCat"/>
        <c:dispUnits>
          <c:builtInUnit val="thousands"/>
        </c:dispUnits>
      </c:valAx>
      <c:valAx>
        <c:axId val="134839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baseline="0"/>
                  <a:t>capacity [MWh]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8395200"/>
        <c:crosses val="autoZero"/>
        <c:crossBetween val="midCat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278647770630295"/>
          <c:y val="0.17791084141778954"/>
          <c:w val="0.71123345421776929"/>
          <c:h val="0.58320517871525812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CAPEX!$B$67:$M$67</c:f>
              <c:strCache>
                <c:ptCount val="1"/>
                <c:pt idx="0">
                  <c:v>BTES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75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15737620806292937"/>
                  <c:y val="-0.120585352004303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CAPEX!$E$69:$E$79</c:f>
              <c:numCache>
                <c:formatCode>0</c:formatCode>
                <c:ptCount val="11"/>
                <c:pt idx="0">
                  <c:v>34000</c:v>
                </c:pt>
                <c:pt idx="1">
                  <c:v>18000</c:v>
                </c:pt>
                <c:pt idx="2">
                  <c:v>60000</c:v>
                </c:pt>
                <c:pt idx="3">
                  <c:v>19000</c:v>
                </c:pt>
                <c:pt idx="4">
                  <c:v>34000</c:v>
                </c:pt>
                <c:pt idx="5">
                  <c:v>323000</c:v>
                </c:pt>
                <c:pt idx="6">
                  <c:v>34000</c:v>
                </c:pt>
                <c:pt idx="7">
                  <c:v>19500</c:v>
                </c:pt>
                <c:pt idx="8">
                  <c:v>12500</c:v>
                </c:pt>
                <c:pt idx="9">
                  <c:v>5000</c:v>
                </c:pt>
                <c:pt idx="10">
                  <c:v>10700</c:v>
                </c:pt>
              </c:numCache>
            </c:numRef>
          </c:xVal>
          <c:yVal>
            <c:numRef>
              <c:f>CAPEX!$K$69:$K$79</c:f>
              <c:numCache>
                <c:formatCode>0</c:formatCode>
                <c:ptCount val="11"/>
                <c:pt idx="0">
                  <c:v>17.056964433539783</c:v>
                </c:pt>
                <c:pt idx="1">
                  <c:v>10.153965508484593</c:v>
                </c:pt>
                <c:pt idx="2">
                  <c:v>3.254521967055636</c:v>
                </c:pt>
                <c:pt idx="3">
                  <c:v>70.3139710481652</c:v>
                </c:pt>
                <c:pt idx="4">
                  <c:v>17.056964433539783</c:v>
                </c:pt>
                <c:pt idx="5">
                  <c:v>6.9473176842567117</c:v>
                </c:pt>
                <c:pt idx="6">
                  <c:v>18.825552665593076</c:v>
                </c:pt>
                <c:pt idx="7">
                  <c:v>19.420108250267024</c:v>
                </c:pt>
                <c:pt idx="8">
                  <c:v>60.703032588512023</c:v>
                </c:pt>
                <c:pt idx="9">
                  <c:v>196.27827733080929</c:v>
                </c:pt>
                <c:pt idx="10">
                  <c:v>145.06548248271716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24C-450C-B6A2-B25ABF749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395200"/>
        <c:axId val="1348394240"/>
      </c:scatterChart>
      <c:valAx>
        <c:axId val="134839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/>
                  <a:t>storage volume [m</a:t>
                </a:r>
                <a:r>
                  <a:rPr lang="de-CH" sz="1400" baseline="30000"/>
                  <a:t>3</a:t>
                </a:r>
                <a:r>
                  <a:rPr lang="de-CH" sz="1400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8394240"/>
        <c:crosses val="autoZero"/>
        <c:crossBetween val="midCat"/>
        <c:dispUnits>
          <c:builtInUnit val="thousands"/>
        </c:dispUnits>
      </c:valAx>
      <c:valAx>
        <c:axId val="134839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/>
                  <a:t>CAPEX</a:t>
                </a:r>
                <a:r>
                  <a:rPr lang="de-CH" sz="1400" baseline="0"/>
                  <a:t> [CHF/m</a:t>
                </a:r>
                <a:r>
                  <a:rPr lang="de-CH" sz="1400" baseline="30000"/>
                  <a:t>3</a:t>
                </a:r>
                <a:r>
                  <a:rPr lang="de-CH" sz="1400" baseline="0"/>
                  <a:t>]</a:t>
                </a:r>
                <a:endParaRPr lang="de-CH" sz="1400"/>
              </a:p>
            </c:rich>
          </c:tx>
          <c:layout>
            <c:manualLayout>
              <c:xMode val="edge"/>
              <c:yMode val="edge"/>
              <c:x val="4.1166927259336128E-2"/>
              <c:y val="0.255807247225088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839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43329348820111"/>
          <c:y val="0.16425681745030254"/>
          <c:w val="0.69372588384361245"/>
          <c:h val="0.60118403917348895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CAPEX!$B$85:$L$85</c:f>
              <c:strCache>
                <c:ptCount val="1"/>
                <c:pt idx="0">
                  <c:v>ATES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43509619832508706"/>
                  <c:y val="-0.117172624748872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CAPEX!$F$87:$F$105</c:f>
              <c:numCache>
                <c:formatCode>0</c:formatCode>
                <c:ptCount val="19"/>
                <c:pt idx="0">
                  <c:v>130000</c:v>
                </c:pt>
                <c:pt idx="2">
                  <c:v>720000</c:v>
                </c:pt>
                <c:pt idx="3">
                  <c:v>24000</c:v>
                </c:pt>
                <c:pt idx="4">
                  <c:v>5266</c:v>
                </c:pt>
                <c:pt idx="5">
                  <c:v>525000</c:v>
                </c:pt>
                <c:pt idx="6">
                  <c:v>280000</c:v>
                </c:pt>
                <c:pt idx="8">
                  <c:v>61000</c:v>
                </c:pt>
                <c:pt idx="9">
                  <c:v>325000</c:v>
                </c:pt>
                <c:pt idx="10">
                  <c:v>1150000</c:v>
                </c:pt>
                <c:pt idx="12">
                  <c:v>5400000</c:v>
                </c:pt>
                <c:pt idx="15">
                  <c:v>1500000</c:v>
                </c:pt>
                <c:pt idx="16">
                  <c:v>100000</c:v>
                </c:pt>
                <c:pt idx="17">
                  <c:v>640000</c:v>
                </c:pt>
                <c:pt idx="18">
                  <c:v>650000</c:v>
                </c:pt>
              </c:numCache>
            </c:numRef>
          </c:xVal>
          <c:yVal>
            <c:numRef>
              <c:f>CAPEX!$L$87:$L$105</c:f>
              <c:numCache>
                <c:formatCode>0</c:formatCode>
                <c:ptCount val="19"/>
                <c:pt idx="0">
                  <c:v>18.855013345055756</c:v>
                </c:pt>
                <c:pt idx="2">
                  <c:v>7.0520786761226963</c:v>
                </c:pt>
                <c:pt idx="3">
                  <c:v>102.84107967365519</c:v>
                </c:pt>
                <c:pt idx="4">
                  <c:v>362.72482506060777</c:v>
                </c:pt>
                <c:pt idx="5">
                  <c:v>2.394351282762508</c:v>
                </c:pt>
                <c:pt idx="6">
                  <c:v>2.1540187756067537</c:v>
                </c:pt>
                <c:pt idx="8">
                  <c:v>9.5562189159348385</c:v>
                </c:pt>
                <c:pt idx="9">
                  <c:v>9.1718596898449238</c:v>
                </c:pt>
                <c:pt idx="10">
                  <c:v>7.0201268862304964</c:v>
                </c:pt>
                <c:pt idx="12">
                  <c:v>4.544588070833167</c:v>
                </c:pt>
                <c:pt idx="15">
                  <c:v>1.1290178170275644</c:v>
                </c:pt>
                <c:pt idx="16">
                  <c:v>3.4299468018023394</c:v>
                </c:pt>
                <c:pt idx="17">
                  <c:v>2.27363897846746</c:v>
                </c:pt>
                <c:pt idx="18">
                  <c:v>9.1944960887475311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F3E-4FC5-BDFA-537BE2D1D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395200"/>
        <c:axId val="1348394240"/>
      </c:scatterChart>
      <c:valAx>
        <c:axId val="1348395200"/>
        <c:scaling>
          <c:orientation val="minMax"/>
          <c:max val="2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/>
                  <a:t>storage volume [m</a:t>
                </a:r>
                <a:r>
                  <a:rPr lang="de-CH" sz="1400" baseline="30000"/>
                  <a:t>3</a:t>
                </a:r>
                <a:r>
                  <a:rPr lang="de-CH" sz="1400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8394240"/>
        <c:crosses val="autoZero"/>
        <c:crossBetween val="midCat"/>
        <c:dispUnits>
          <c:builtInUnit val="thousands"/>
        </c:dispUnits>
      </c:valAx>
      <c:valAx>
        <c:axId val="134839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/>
                  <a:t>CAPEX</a:t>
                </a:r>
                <a:r>
                  <a:rPr lang="de-CH" sz="1400" baseline="0"/>
                  <a:t> [CHF/m</a:t>
                </a:r>
                <a:r>
                  <a:rPr lang="de-CH" sz="1400" baseline="30000"/>
                  <a:t>3</a:t>
                </a:r>
                <a:r>
                  <a:rPr lang="de-CH" sz="1400" baseline="0"/>
                  <a:t>]</a:t>
                </a:r>
                <a:endParaRPr lang="de-CH" sz="1400"/>
              </a:p>
            </c:rich>
          </c:tx>
          <c:layout>
            <c:manualLayout>
              <c:xMode val="edge"/>
              <c:yMode val="edge"/>
              <c:x val="4.7009081867750407E-2"/>
              <c:y val="0.255011494283832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839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660168644200041"/>
          <c:y val="0.17389603821524124"/>
          <c:w val="0.72647621469481638"/>
          <c:h val="0.59261072797782377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CAPEX!$B$23:$L$23</c:f>
              <c:strCache>
                <c:ptCount val="1"/>
                <c:pt idx="0">
                  <c:v>TTES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B381D9"/>
              </a:solidFill>
              <a:ln w="9525">
                <a:solidFill>
                  <a:srgbClr val="B381D9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B381D9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25321237965488652"/>
                  <c:y val="-0.198540395043706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CAPEX!$E$25:$E$38</c:f>
              <c:numCache>
                <c:formatCode>0</c:formatCode>
                <c:ptCount val="14"/>
                <c:pt idx="0" formatCode="0.00">
                  <c:v>0.3</c:v>
                </c:pt>
                <c:pt idx="1">
                  <c:v>3</c:v>
                </c:pt>
                <c:pt idx="2" formatCode="0.00">
                  <c:v>0.255</c:v>
                </c:pt>
                <c:pt idx="3">
                  <c:v>121100</c:v>
                </c:pt>
                <c:pt idx="4">
                  <c:v>200</c:v>
                </c:pt>
                <c:pt idx="5">
                  <c:v>2000</c:v>
                </c:pt>
                <c:pt idx="6">
                  <c:v>2750</c:v>
                </c:pt>
                <c:pt idx="7">
                  <c:v>4500</c:v>
                </c:pt>
                <c:pt idx="8">
                  <c:v>5700</c:v>
                </c:pt>
                <c:pt idx="9">
                  <c:v>12000</c:v>
                </c:pt>
                <c:pt idx="10">
                  <c:v>300</c:v>
                </c:pt>
                <c:pt idx="11">
                  <c:v>700</c:v>
                </c:pt>
                <c:pt idx="12">
                  <c:v>600</c:v>
                </c:pt>
                <c:pt idx="13">
                  <c:v>43000</c:v>
                </c:pt>
              </c:numCache>
            </c:numRef>
          </c:xVal>
          <c:yVal>
            <c:numRef>
              <c:f>CAPEX!$I$25:$I$38</c:f>
              <c:numCache>
                <c:formatCode>0</c:formatCode>
                <c:ptCount val="14"/>
                <c:pt idx="0">
                  <c:v>3684.5991792778032</c:v>
                </c:pt>
                <c:pt idx="1">
                  <c:v>5731.6044071840461</c:v>
                </c:pt>
                <c:pt idx="2">
                  <c:v>6421.1963616912071</c:v>
                </c:pt>
                <c:pt idx="3">
                  <c:v>189.11309464669463</c:v>
                </c:pt>
                <c:pt idx="4">
                  <c:v>127.64635278330515</c:v>
                </c:pt>
                <c:pt idx="5">
                  <c:v>165.48935689060883</c:v>
                </c:pt>
                <c:pt idx="6">
                  <c:v>306.82460093744811</c:v>
                </c:pt>
                <c:pt idx="7">
                  <c:v>268.47152582026712</c:v>
                </c:pt>
                <c:pt idx="8">
                  <c:v>191.76537558590508</c:v>
                </c:pt>
                <c:pt idx="9">
                  <c:v>147.02012128252721</c:v>
                </c:pt>
                <c:pt idx="10">
                  <c:v>600.86484350250259</c:v>
                </c:pt>
                <c:pt idx="11">
                  <c:v>575.29612675771523</c:v>
                </c:pt>
                <c:pt idx="12">
                  <c:v>613.64920187489622</c:v>
                </c:pt>
                <c:pt idx="13">
                  <c:v>203.04124830965222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B38-425B-A294-E21B62038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395200"/>
        <c:axId val="134839424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other data points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7030A0"/>
                    </a:solidFill>
                    <a:ln w="9525">
                      <a:solidFill>
                        <a:srgbClr val="7030A0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rgbClr val="7030A0"/>
                      </a:solidFill>
                      <a:prstDash val="sysDash"/>
                    </a:ln>
                    <a:effectLst/>
                  </c:spPr>
                  <c:trendlineType val="power"/>
                  <c:dispRSqr val="0"/>
                  <c:dispEq val="0"/>
                </c:trendline>
                <c:xVal>
                  <c:numRef>
                    <c:extLst>
                      <c:ext uri="{02D57815-91ED-43cb-92C2-25804820EDAC}">
                        <c15:formulaRef>
                          <c15:sqref>CAPEX!$E$39:$E$63</c15:sqref>
                        </c15:formulaRef>
                      </c:ext>
                    </c:extLst>
                    <c:numCache>
                      <c:formatCode>0</c:formatCode>
                      <c:ptCount val="25"/>
                      <c:pt idx="0">
                        <c:v>200</c:v>
                      </c:pt>
                      <c:pt idx="1">
                        <c:v>400</c:v>
                      </c:pt>
                      <c:pt idx="2">
                        <c:v>1000</c:v>
                      </c:pt>
                      <c:pt idx="3">
                        <c:v>1200</c:v>
                      </c:pt>
                      <c:pt idx="4">
                        <c:v>1500</c:v>
                      </c:pt>
                      <c:pt idx="5">
                        <c:v>1500</c:v>
                      </c:pt>
                      <c:pt idx="6">
                        <c:v>2000</c:v>
                      </c:pt>
                      <c:pt idx="7">
                        <c:v>2000</c:v>
                      </c:pt>
                      <c:pt idx="8">
                        <c:v>2500</c:v>
                      </c:pt>
                      <c:pt idx="9">
                        <c:v>3000</c:v>
                      </c:pt>
                      <c:pt idx="10">
                        <c:v>3500</c:v>
                      </c:pt>
                      <c:pt idx="11">
                        <c:v>3500</c:v>
                      </c:pt>
                      <c:pt idx="12">
                        <c:v>4000</c:v>
                      </c:pt>
                      <c:pt idx="13">
                        <c:v>4500</c:v>
                      </c:pt>
                      <c:pt idx="14">
                        <c:v>5000</c:v>
                      </c:pt>
                      <c:pt idx="15">
                        <c:v>5200</c:v>
                      </c:pt>
                      <c:pt idx="16">
                        <c:v>10000</c:v>
                      </c:pt>
                      <c:pt idx="17">
                        <c:v>200</c:v>
                      </c:pt>
                      <c:pt idx="18">
                        <c:v>300</c:v>
                      </c:pt>
                      <c:pt idx="19">
                        <c:v>350</c:v>
                      </c:pt>
                      <c:pt idx="20">
                        <c:v>600</c:v>
                      </c:pt>
                      <c:pt idx="21">
                        <c:v>1200</c:v>
                      </c:pt>
                      <c:pt idx="22">
                        <c:v>2800</c:v>
                      </c:pt>
                      <c:pt idx="23">
                        <c:v>4800</c:v>
                      </c:pt>
                      <c:pt idx="24">
                        <c:v>9500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CAPEX!$I$39:$I$63</c15:sqref>
                        </c15:formulaRef>
                      </c:ext>
                    </c:extLst>
                    <c:numCache>
                      <c:formatCode>0</c:formatCode>
                      <c:ptCount val="25"/>
                      <c:pt idx="0">
                        <c:v>645.86311661388379</c:v>
                      </c:pt>
                      <c:pt idx="1">
                        <c:v>478.41712341769164</c:v>
                      </c:pt>
                      <c:pt idx="2">
                        <c:v>281.07006000789386</c:v>
                      </c:pt>
                      <c:pt idx="3">
                        <c:v>275.08984596517269</c:v>
                      </c:pt>
                      <c:pt idx="4">
                        <c:v>346.85241447782647</c:v>
                      </c:pt>
                      <c:pt idx="5">
                        <c:v>239.20856170884582</c:v>
                      </c:pt>
                      <c:pt idx="6">
                        <c:v>215.28770553796124</c:v>
                      </c:pt>
                      <c:pt idx="7">
                        <c:v>197.34706340979781</c:v>
                      </c:pt>
                      <c:pt idx="8">
                        <c:v>203.32727745251896</c:v>
                      </c:pt>
                      <c:pt idx="9">
                        <c:v>179.40642128163438</c:v>
                      </c:pt>
                      <c:pt idx="10">
                        <c:v>143.52513702530752</c:v>
                      </c:pt>
                      <c:pt idx="11">
                        <c:v>185.38663532435552</c:v>
                      </c:pt>
                      <c:pt idx="12">
                        <c:v>179.40642128163438</c:v>
                      </c:pt>
                      <c:pt idx="13">
                        <c:v>179.40642128163438</c:v>
                      </c:pt>
                      <c:pt idx="14">
                        <c:v>161.46577915347095</c:v>
                      </c:pt>
                      <c:pt idx="15">
                        <c:v>173.42620723891324</c:v>
                      </c:pt>
                      <c:pt idx="16">
                        <c:v>143.52513702530752</c:v>
                      </c:pt>
                      <c:pt idx="17">
                        <c:v>703.13971048165195</c:v>
                      </c:pt>
                      <c:pt idx="18">
                        <c:v>549.72741001292786</c:v>
                      </c:pt>
                      <c:pt idx="19">
                        <c:v>524.1586932681405</c:v>
                      </c:pt>
                      <c:pt idx="20">
                        <c:v>281.2558841926608</c:v>
                      </c:pt>
                      <c:pt idx="21">
                        <c:v>383.53075117181015</c:v>
                      </c:pt>
                      <c:pt idx="22">
                        <c:v>210.94191314449557</c:v>
                      </c:pt>
                      <c:pt idx="23">
                        <c:v>178.98101721351139</c:v>
                      </c:pt>
                      <c:pt idx="24">
                        <c:v>140.6279420963304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B-2B38-425B-A294-E21B62038916}"/>
                  </c:ext>
                </c:extLst>
              </c15:ser>
            </c15:filteredScatterSeries>
          </c:ext>
        </c:extLst>
      </c:scatterChart>
      <c:valAx>
        <c:axId val="134839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/>
                  <a:t>storage volume [m</a:t>
                </a:r>
                <a:r>
                  <a:rPr lang="de-CH" sz="1400" baseline="30000"/>
                  <a:t>3</a:t>
                </a:r>
                <a:r>
                  <a:rPr lang="de-CH" sz="1400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8394240"/>
        <c:crosses val="autoZero"/>
        <c:crossBetween val="midCat"/>
        <c:dispUnits>
          <c:builtInUnit val="thousands"/>
        </c:dispUnits>
      </c:valAx>
      <c:valAx>
        <c:axId val="1348394240"/>
        <c:scaling>
          <c:orientation val="minMax"/>
          <c:max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/>
                  <a:t>CAPEX</a:t>
                </a:r>
                <a:r>
                  <a:rPr lang="de-CH" sz="1400" baseline="0"/>
                  <a:t> [CHF/m</a:t>
                </a:r>
                <a:r>
                  <a:rPr lang="de-CH" sz="1400" baseline="30000"/>
                  <a:t>3</a:t>
                </a:r>
                <a:r>
                  <a:rPr lang="de-CH" sz="1400" baseline="0"/>
                  <a:t>]</a:t>
                </a:r>
                <a:endParaRPr lang="de-CH" sz="1400"/>
              </a:p>
            </c:rich>
          </c:tx>
          <c:layout>
            <c:manualLayout>
              <c:xMode val="edge"/>
              <c:yMode val="edge"/>
              <c:x val="3.523149566252666E-2"/>
              <c:y val="0.261317793058422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8395200"/>
        <c:crossesAt val="-10000"/>
        <c:crossBetween val="midCat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283762151706661"/>
          <c:y val="0.17759382257355119"/>
          <c:w val="0.71116062578394368"/>
          <c:h val="0.58394786427323342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CAPEX!$B$3:$L$3</c:f>
              <c:strCache>
                <c:ptCount val="1"/>
                <c:pt idx="0">
                  <c:v>PTES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1953D"/>
              </a:solidFill>
              <a:ln w="9525">
                <a:solidFill>
                  <a:srgbClr val="61953D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61953D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18930062362681682"/>
                  <c:y val="-0.1947489382910827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CAPEX!$E$5:$E$19</c:f>
              <c:numCache>
                <c:formatCode>0</c:formatCode>
                <c:ptCount val="15"/>
                <c:pt idx="0">
                  <c:v>10000</c:v>
                </c:pt>
                <c:pt idx="1">
                  <c:v>1500</c:v>
                </c:pt>
                <c:pt idx="2">
                  <c:v>3000</c:v>
                </c:pt>
                <c:pt idx="3">
                  <c:v>1500</c:v>
                </c:pt>
                <c:pt idx="4">
                  <c:v>5360</c:v>
                </c:pt>
                <c:pt idx="5">
                  <c:v>30350</c:v>
                </c:pt>
                <c:pt idx="6">
                  <c:v>60000</c:v>
                </c:pt>
                <c:pt idx="7">
                  <c:v>75000</c:v>
                </c:pt>
                <c:pt idx="8">
                  <c:v>26600</c:v>
                </c:pt>
                <c:pt idx="9">
                  <c:v>85000</c:v>
                </c:pt>
                <c:pt idx="10">
                  <c:v>125000</c:v>
                </c:pt>
                <c:pt idx="11">
                  <c:v>210000</c:v>
                </c:pt>
                <c:pt idx="12">
                  <c:v>70000</c:v>
                </c:pt>
                <c:pt idx="13">
                  <c:v>800</c:v>
                </c:pt>
                <c:pt idx="14">
                  <c:v>43000</c:v>
                </c:pt>
              </c:numCache>
            </c:numRef>
          </c:xVal>
          <c:yVal>
            <c:numRef>
              <c:f>CAPEX!$I$5:$I$19</c:f>
              <c:numCache>
                <c:formatCode>0</c:formatCode>
                <c:ptCount val="15"/>
                <c:pt idx="0">
                  <c:v>27.151376418527761</c:v>
                </c:pt>
                <c:pt idx="1">
                  <c:v>285.26876741044123</c:v>
                </c:pt>
                <c:pt idx="2">
                  <c:v>200.13639608958019</c:v>
                </c:pt>
                <c:pt idx="3">
                  <c:v>575.17599363446823</c:v>
                </c:pt>
                <c:pt idx="4">
                  <c:v>185.08410555752283</c:v>
                </c:pt>
                <c:pt idx="5">
                  <c:v>68.638991921189884</c:v>
                </c:pt>
                <c:pt idx="6">
                  <c:v>46.795731337312006</c:v>
                </c:pt>
                <c:pt idx="7">
                  <c:v>43.203186735541074</c:v>
                </c:pt>
                <c:pt idx="8">
                  <c:v>124.06224669980796</c:v>
                </c:pt>
                <c:pt idx="9">
                  <c:v>57.832187566079789</c:v>
                </c:pt>
                <c:pt idx="10">
                  <c:v>39.717821924569776</c:v>
                </c:pt>
                <c:pt idx="11">
                  <c:v>27.417643276302716</c:v>
                </c:pt>
                <c:pt idx="12">
                  <c:v>89.089527319541276</c:v>
                </c:pt>
                <c:pt idx="13">
                  <c:v>313.21678012364498</c:v>
                </c:pt>
                <c:pt idx="14">
                  <c:v>171.77849543050334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F34-462B-B4C4-E4DF31CF4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395200"/>
        <c:axId val="1348394240"/>
      </c:scatterChart>
      <c:valAx>
        <c:axId val="1348395200"/>
        <c:scaling>
          <c:orientation val="minMax"/>
          <c:max val="25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/>
                  <a:t>storage volume [m</a:t>
                </a:r>
                <a:r>
                  <a:rPr lang="de-CH" sz="1400" baseline="30000"/>
                  <a:t>3</a:t>
                </a:r>
                <a:r>
                  <a:rPr lang="de-CH" sz="1400"/>
                  <a:t>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8394240"/>
        <c:crosses val="autoZero"/>
        <c:crossBetween val="midCat"/>
        <c:dispUnits>
          <c:builtInUnit val="thousands"/>
        </c:dispUnits>
      </c:valAx>
      <c:valAx>
        <c:axId val="134839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/>
                  <a:t>CAPEX</a:t>
                </a:r>
                <a:r>
                  <a:rPr lang="de-CH" sz="1400" baseline="0"/>
                  <a:t> [CHF/m</a:t>
                </a:r>
                <a:r>
                  <a:rPr lang="de-CH" sz="1400" baseline="30000"/>
                  <a:t>3</a:t>
                </a:r>
                <a:r>
                  <a:rPr lang="de-CH" sz="1400" baseline="0"/>
                  <a:t>]</a:t>
                </a:r>
                <a:endParaRPr lang="de-CH" sz="1400"/>
              </a:p>
            </c:rich>
          </c:tx>
          <c:layout>
            <c:manualLayout>
              <c:xMode val="edge"/>
              <c:yMode val="edge"/>
              <c:x val="4.1177309773798076E-2"/>
              <c:y val="0.251895447878820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8395200"/>
        <c:crossesAt val="-100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126179909178187"/>
          <c:y val="5.3512455744739625E-2"/>
          <c:w val="0.48899793143922837"/>
          <c:h val="0.70831219428144776"/>
        </c:manualLayout>
      </c:layout>
      <c:scatterChart>
        <c:scatterStyle val="smoothMarker"/>
        <c:varyColors val="0"/>
        <c:ser>
          <c:idx val="0"/>
          <c:order val="0"/>
          <c:tx>
            <c:v>15 kWh/m3</c:v>
          </c:tx>
          <c:spPr>
            <a:ln w="28575" cap="rnd">
              <a:solidFill>
                <a:schemeClr val="accent2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CAPEX!$AG$71:$AG$81</c:f>
              <c:numCache>
                <c:formatCode>0</c:formatCode>
                <c:ptCount val="11"/>
                <c:pt idx="0">
                  <c:v>150</c:v>
                </c:pt>
                <c:pt idx="1">
                  <c:v>225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750</c:v>
                </c:pt>
                <c:pt idx="6">
                  <c:v>1125</c:v>
                </c:pt>
                <c:pt idx="7">
                  <c:v>1500</c:v>
                </c:pt>
                <c:pt idx="8">
                  <c:v>2250</c:v>
                </c:pt>
                <c:pt idx="9">
                  <c:v>3750</c:v>
                </c:pt>
                <c:pt idx="10">
                  <c:v>5250</c:v>
                </c:pt>
              </c:numCache>
            </c:numRef>
          </c:xVal>
          <c:yVal>
            <c:numRef>
              <c:f>CAPEX!$AB$71:$AB$81</c:f>
              <c:numCache>
                <c:formatCode>0.00</c:formatCode>
                <c:ptCount val="11"/>
                <c:pt idx="0">
                  <c:v>4087.2426851173532</c:v>
                </c:pt>
                <c:pt idx="1">
                  <c:v>2392.2445304058647</c:v>
                </c:pt>
                <c:pt idx="2">
                  <c:v>1872.2238212933225</c:v>
                </c:pt>
                <c:pt idx="3">
                  <c:v>1325.3421618463194</c:v>
                </c:pt>
                <c:pt idx="4">
                  <c:v>1037.2422782181425</c:v>
                </c:pt>
                <c:pt idx="5">
                  <c:v>857.65550453077651</c:v>
                </c:pt>
                <c:pt idx="6">
                  <c:v>607.13200396574268</c:v>
                </c:pt>
                <c:pt idx="7">
                  <c:v>475.15502117225645</c:v>
                </c:pt>
                <c:pt idx="8">
                  <c:v>336.36094990904991</c:v>
                </c:pt>
                <c:pt idx="9">
                  <c:v>217.66591941572023</c:v>
                </c:pt>
                <c:pt idx="10">
                  <c:v>163.41403332421459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8B0-4267-9D8E-189CDE7D90B3}"/>
            </c:ext>
          </c:extLst>
        </c:ser>
        <c:ser>
          <c:idx val="1"/>
          <c:order val="1"/>
          <c:tx>
            <c:v>30 kWh/m3</c:v>
          </c:tx>
          <c:spPr>
            <a:ln w="28575" cap="rnd">
              <a:solidFill>
                <a:schemeClr val="accent2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CAPEX!$AH$71:$AH$81</c:f>
              <c:numCache>
                <c:formatCode>0</c:formatCode>
                <c:ptCount val="11"/>
                <c:pt idx="0">
                  <c:v>150</c:v>
                </c:pt>
                <c:pt idx="1">
                  <c:v>225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750</c:v>
                </c:pt>
                <c:pt idx="6">
                  <c:v>1125</c:v>
                </c:pt>
                <c:pt idx="7">
                  <c:v>1500</c:v>
                </c:pt>
                <c:pt idx="8">
                  <c:v>2250</c:v>
                </c:pt>
                <c:pt idx="9">
                  <c:v>3750</c:v>
                </c:pt>
                <c:pt idx="10">
                  <c:v>5250</c:v>
                </c:pt>
              </c:numCache>
            </c:numRef>
          </c:xVal>
          <c:yVal>
            <c:numRef>
              <c:f>CAPEX!$AC$71:$AC$81</c:f>
              <c:numCache>
                <c:formatCode>0.00</c:formatCode>
                <c:ptCount val="11"/>
                <c:pt idx="0">
                  <c:v>3049.8809244072568</c:v>
                </c:pt>
                <c:pt idx="1">
                  <c:v>2159.0024289593143</c:v>
                </c:pt>
                <c:pt idx="2">
                  <c:v>1689.6833606897114</c:v>
                </c:pt>
                <c:pt idx="3">
                  <c:v>1196.1222652029323</c:v>
                </c:pt>
                <c:pt idx="4">
                  <c:v>936.11191064666127</c:v>
                </c:pt>
                <c:pt idx="5">
                  <c:v>774.03471675118271</c:v>
                </c:pt>
                <c:pt idx="6">
                  <c:v>547.93707524480624</c:v>
                </c:pt>
                <c:pt idx="7">
                  <c:v>428.82775226538826</c:v>
                </c:pt>
                <c:pt idx="8">
                  <c:v>303.56600198287134</c:v>
                </c:pt>
                <c:pt idx="9">
                  <c:v>196.44365061646604</c:v>
                </c:pt>
                <c:pt idx="10">
                  <c:v>147.48128395267358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8B0-4267-9D8E-189CDE7D90B3}"/>
            </c:ext>
          </c:extLst>
        </c:ser>
        <c:ser>
          <c:idx val="2"/>
          <c:order val="2"/>
          <c:tx>
            <c:v>60 kWh/m3</c:v>
          </c:tx>
          <c:spPr>
            <a:ln w="28575" cap="rnd">
              <a:solidFill>
                <a:schemeClr val="accent2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CAPEX!$AJ$71:$AJ$81</c:f>
              <c:numCache>
                <c:formatCode>0</c:formatCode>
                <c:ptCount val="11"/>
                <c:pt idx="0">
                  <c:v>150</c:v>
                </c:pt>
                <c:pt idx="1">
                  <c:v>225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750</c:v>
                </c:pt>
                <c:pt idx="6">
                  <c:v>1125</c:v>
                </c:pt>
                <c:pt idx="7">
                  <c:v>1500</c:v>
                </c:pt>
                <c:pt idx="8">
                  <c:v>2250</c:v>
                </c:pt>
                <c:pt idx="9">
                  <c:v>3750</c:v>
                </c:pt>
                <c:pt idx="10">
                  <c:v>5250</c:v>
                </c:pt>
              </c:numCache>
            </c:numRef>
          </c:xVal>
          <c:yVal>
            <c:numRef>
              <c:f>CAPEX!$AE$71:$AE$81</c:f>
              <c:numCache>
                <c:formatCode>0.00</c:formatCode>
                <c:ptCount val="11"/>
                <c:pt idx="0">
                  <c:v>2752.5197529513407</c:v>
                </c:pt>
                <c:pt idx="1">
                  <c:v>1948.5012627289334</c:v>
                </c:pt>
                <c:pt idx="2">
                  <c:v>1524.9404622036284</c:v>
                </c:pt>
                <c:pt idx="3">
                  <c:v>1079.5012144796572</c:v>
                </c:pt>
                <c:pt idx="4">
                  <c:v>844.84168034485572</c:v>
                </c:pt>
                <c:pt idx="5">
                  <c:v>698.5668949491178</c:v>
                </c:pt>
                <c:pt idx="6">
                  <c:v>494.51360901207357</c:v>
                </c:pt>
                <c:pt idx="7">
                  <c:v>387.01735837559136</c:v>
                </c:pt>
                <c:pt idx="8">
                  <c:v>273.96853762240312</c:v>
                </c:pt>
                <c:pt idx="9">
                  <c:v>177.29053758673589</c:v>
                </c:pt>
                <c:pt idx="10">
                  <c:v>133.10196605438102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8B0-4267-9D8E-189CDE7D9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036288"/>
        <c:axId val="169038688"/>
      </c:scatterChart>
      <c:scatterChart>
        <c:scatterStyle val="lineMarker"/>
        <c:varyColors val="0"/>
        <c:ser>
          <c:idx val="3"/>
          <c:order val="3"/>
          <c:tx>
            <c:v>individual plants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accent2">
                    <a:lumMod val="50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2.7078962743738295E-2"/>
                  <c:y val="-0.23022770651474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CAPEX!$F$69:$F$79</c:f>
              <c:numCache>
                <c:formatCode>0</c:formatCode>
                <c:ptCount val="11"/>
                <c:pt idx="0">
                  <c:v>624</c:v>
                </c:pt>
                <c:pt idx="1">
                  <c:v>1044</c:v>
                </c:pt>
                <c:pt idx="2">
                  <c:v>1080</c:v>
                </c:pt>
                <c:pt idx="3">
                  <c:v>260</c:v>
                </c:pt>
                <c:pt idx="4">
                  <c:v>426.4</c:v>
                </c:pt>
                <c:pt idx="5">
                  <c:v>3600</c:v>
                </c:pt>
                <c:pt idx="6">
                  <c:v>650</c:v>
                </c:pt>
                <c:pt idx="7">
                  <c:v>930</c:v>
                </c:pt>
                <c:pt idx="8">
                  <c:v>580</c:v>
                </c:pt>
                <c:pt idx="9">
                  <c:v>290</c:v>
                </c:pt>
                <c:pt idx="10">
                  <c:v>619</c:v>
                </c:pt>
              </c:numCache>
            </c:numRef>
          </c:xVal>
          <c:yVal>
            <c:numRef>
              <c:f>CAPEX!$M$69:$M$79</c:f>
              <c:numCache>
                <c:formatCode>0</c:formatCode>
                <c:ptCount val="11"/>
                <c:pt idx="0">
                  <c:v>929.38588259671894</c:v>
                </c:pt>
                <c:pt idx="1">
                  <c:v>175.06837083594124</c:v>
                </c:pt>
                <c:pt idx="2">
                  <c:v>180.80677594753536</c:v>
                </c:pt>
                <c:pt idx="3">
                  <c:v>5138.3286535197649</c:v>
                </c:pt>
                <c:pt idx="4">
                  <c:v>1360.076901361052</c:v>
                </c:pt>
                <c:pt idx="5">
                  <c:v>623.32878111525486</c:v>
                </c:pt>
                <c:pt idx="6">
                  <c:v>984.72121635409928</c:v>
                </c:pt>
                <c:pt idx="7">
                  <c:v>407.1958181507602</c:v>
                </c:pt>
                <c:pt idx="8">
                  <c:v>1308.2550126834487</c:v>
                </c:pt>
                <c:pt idx="9">
                  <c:v>3384.1082298415395</c:v>
                </c:pt>
                <c:pt idx="10">
                  <c:v>2507.5939621406678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8B0-4267-9D8E-189CDE7D9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036288"/>
        <c:axId val="169038688"/>
      </c:scatterChart>
      <c:valAx>
        <c:axId val="169036288"/>
        <c:scaling>
          <c:orientation val="minMax"/>
          <c:max val="4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/>
                  <a:t>capacity [MWh]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9038688"/>
        <c:crosses val="autoZero"/>
        <c:crossBetween val="midCat"/>
        <c:dispUnits>
          <c:builtInUnit val="thousands"/>
        </c:dispUnits>
      </c:valAx>
      <c:valAx>
        <c:axId val="16903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 baseline="0"/>
                  <a:t> CAPEX [CHF/MWh]</a:t>
                </a:r>
                <a:endParaRPr lang="de-CH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9036288"/>
        <c:crosses val="autoZero"/>
        <c:crossBetween val="midCat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85325465731168"/>
          <c:y val="5.5166794191358934E-2"/>
          <c:w val="0.49017607900852445"/>
          <c:h val="0.69929466098579696"/>
        </c:manualLayout>
      </c:layout>
      <c:scatterChart>
        <c:scatterStyle val="smoothMarker"/>
        <c:varyColors val="0"/>
        <c:ser>
          <c:idx val="2"/>
          <c:order val="0"/>
          <c:tx>
            <c:v>30 kWh/m3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CAPEX!$AI$89:$AI$99</c:f>
              <c:numCache>
                <c:formatCode>0</c:formatCode>
                <c:ptCount val="11"/>
                <c:pt idx="0">
                  <c:v>300</c:v>
                </c:pt>
                <c:pt idx="1">
                  <c:v>1500</c:v>
                </c:pt>
                <c:pt idx="2">
                  <c:v>3000</c:v>
                </c:pt>
                <c:pt idx="3">
                  <c:v>9000</c:v>
                </c:pt>
                <c:pt idx="4">
                  <c:v>15000</c:v>
                </c:pt>
                <c:pt idx="5">
                  <c:v>45000</c:v>
                </c:pt>
                <c:pt idx="6">
                  <c:v>90000</c:v>
                </c:pt>
                <c:pt idx="7">
                  <c:v>135000</c:v>
                </c:pt>
                <c:pt idx="8">
                  <c:v>180000</c:v>
                </c:pt>
                <c:pt idx="9">
                  <c:v>210000</c:v>
                </c:pt>
                <c:pt idx="10">
                  <c:v>225000</c:v>
                </c:pt>
              </c:numCache>
            </c:numRef>
          </c:xVal>
          <c:yVal>
            <c:numRef>
              <c:f>CAPEX!$AF$89:$AF$99</c:f>
              <c:numCache>
                <c:formatCode>0</c:formatCode>
                <c:ptCount val="11"/>
                <c:pt idx="0">
                  <c:v>2550.2112735055553</c:v>
                </c:pt>
                <c:pt idx="1">
                  <c:v>860.54068585866753</c:v>
                </c:pt>
                <c:pt idx="2">
                  <c:v>538.98435758218488</c:v>
                </c:pt>
                <c:pt idx="3">
                  <c:v>256.75523920278317</c:v>
                </c:pt>
                <c:pt idx="4">
                  <c:v>181.87433078958051</c:v>
                </c:pt>
                <c:pt idx="5">
                  <c:v>86.639225517049212</c:v>
                </c:pt>
                <c:pt idx="6">
                  <c:v>54.264938397571846</c:v>
                </c:pt>
                <c:pt idx="7">
                  <c:v>41.272209033602451</c:v>
                </c:pt>
                <c:pt idx="8">
                  <c:v>33.987879297383614</c:v>
                </c:pt>
                <c:pt idx="9">
                  <c:v>30.629152788261486</c:v>
                </c:pt>
                <c:pt idx="10">
                  <c:v>29.235451714641226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6AB-4B29-87A9-198545D19D9A}"/>
            </c:ext>
          </c:extLst>
        </c:ser>
        <c:ser>
          <c:idx val="3"/>
          <c:order val="1"/>
          <c:tx>
            <c:v>40 kWh/m3</c:v>
          </c:tx>
          <c:spPr>
            <a:ln w="28575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CAPEX!$AJ$89:$AJ$99</c:f>
              <c:numCache>
                <c:formatCode>0</c:formatCode>
                <c:ptCount val="11"/>
                <c:pt idx="0">
                  <c:v>299.99999999999994</c:v>
                </c:pt>
                <c:pt idx="1">
                  <c:v>1499.9999999999998</c:v>
                </c:pt>
                <c:pt idx="2">
                  <c:v>2999.9999999999995</c:v>
                </c:pt>
                <c:pt idx="3">
                  <c:v>8999.9999999999982</c:v>
                </c:pt>
                <c:pt idx="4">
                  <c:v>14999.999999999998</c:v>
                </c:pt>
                <c:pt idx="5">
                  <c:v>44999.999999999993</c:v>
                </c:pt>
                <c:pt idx="6">
                  <c:v>89999.999999999985</c:v>
                </c:pt>
                <c:pt idx="7">
                  <c:v>134999.99999999997</c:v>
                </c:pt>
                <c:pt idx="8">
                  <c:v>179999.99999999997</c:v>
                </c:pt>
                <c:pt idx="9">
                  <c:v>209999.99999999997</c:v>
                </c:pt>
                <c:pt idx="10">
                  <c:v>224999.99999999997</c:v>
                </c:pt>
              </c:numCache>
            </c:numRef>
          </c:xVal>
          <c:yVal>
            <c:numRef>
              <c:f>CAPEX!$AG$89:$AG$99</c:f>
              <c:numCache>
                <c:formatCode>0</c:formatCode>
                <c:ptCount val="11"/>
                <c:pt idx="0">
                  <c:v>2322.5820851980861</c:v>
                </c:pt>
                <c:pt idx="1">
                  <c:v>783.72972518939855</c:v>
                </c:pt>
                <c:pt idx="2">
                  <c:v>490.87517811871004</c:v>
                </c:pt>
                <c:pt idx="3">
                  <c:v>233.83753536364929</c:v>
                </c:pt>
                <c:pt idx="4">
                  <c:v>165.64041843819811</c:v>
                </c:pt>
                <c:pt idx="5">
                  <c:v>78.905898955080062</c:v>
                </c:pt>
                <c:pt idx="6">
                  <c:v>49.421306809348764</c:v>
                </c:pt>
                <c:pt idx="7">
                  <c:v>37.588294865557479</c:v>
                </c:pt>
                <c:pt idx="8">
                  <c:v>30.954156775201835</c:v>
                </c:pt>
                <c:pt idx="9">
                  <c:v>27.895226677836281</c:v>
                </c:pt>
                <c:pt idx="10">
                  <c:v>26.625925902900082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6AB-4B29-87A9-198545D19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036288"/>
        <c:axId val="169038688"/>
      </c:scatterChart>
      <c:scatterChart>
        <c:scatterStyle val="lineMarker"/>
        <c:varyColors val="0"/>
        <c:ser>
          <c:idx val="4"/>
          <c:order val="2"/>
          <c:tx>
            <c:v>individual plants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accent5">
                    <a:lumMod val="50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1.2809801679184286E-2"/>
                  <c:y val="-0.37437244137898673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CAPEX!$G$87:$G$105</c:f>
              <c:numCache>
                <c:formatCode>0</c:formatCode>
                <c:ptCount val="19"/>
                <c:pt idx="0">
                  <c:v>6000</c:v>
                </c:pt>
                <c:pt idx="2">
                  <c:v>22000</c:v>
                </c:pt>
                <c:pt idx="3">
                  <c:v>1400</c:v>
                </c:pt>
                <c:pt idx="4">
                  <c:v>622</c:v>
                </c:pt>
                <c:pt idx="5">
                  <c:v>6125</c:v>
                </c:pt>
                <c:pt idx="6">
                  <c:v>3900</c:v>
                </c:pt>
                <c:pt idx="9">
                  <c:v>2025</c:v>
                </c:pt>
                <c:pt idx="10">
                  <c:v>20000</c:v>
                </c:pt>
                <c:pt idx="15">
                  <c:v>22000</c:v>
                </c:pt>
                <c:pt idx="16">
                  <c:v>1800</c:v>
                </c:pt>
                <c:pt idx="17">
                  <c:v>5200</c:v>
                </c:pt>
                <c:pt idx="18">
                  <c:v>28000</c:v>
                </c:pt>
              </c:numCache>
            </c:numRef>
          </c:xVal>
          <c:yVal>
            <c:numRef>
              <c:f>CAPEX!$M$87:$M$105</c:f>
              <c:numCache>
                <c:formatCode>0</c:formatCode>
                <c:ptCount val="19"/>
                <c:pt idx="0">
                  <c:v>408.52528914287467</c:v>
                </c:pt>
                <c:pt idx="2">
                  <c:v>230.79530212765192</c:v>
                </c:pt>
                <c:pt idx="3">
                  <c:v>1762.9899372626605</c:v>
                </c:pt>
                <c:pt idx="4">
                  <c:v>3070.9146764777502</c:v>
                </c:pt>
                <c:pt idx="5">
                  <c:v>205.23010995107214</c:v>
                </c:pt>
                <c:pt idx="6">
                  <c:v>154.64750183843358</c:v>
                </c:pt>
                <c:pt idx="9">
                  <c:v>1472.0268638022717</c:v>
                </c:pt>
                <c:pt idx="10">
                  <c:v>403.65729595825354</c:v>
                </c:pt>
                <c:pt idx="15">
                  <c:v>76.978487524606678</c:v>
                </c:pt>
                <c:pt idx="16">
                  <c:v>190.55260010012998</c:v>
                </c:pt>
                <c:pt idx="17">
                  <c:v>279.83248965753347</c:v>
                </c:pt>
                <c:pt idx="18">
                  <c:v>213.44365920306765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AB-4B29-87A9-198545D19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036288"/>
        <c:axId val="169038688"/>
      </c:scatterChart>
      <c:valAx>
        <c:axId val="169036288"/>
        <c:scaling>
          <c:orientation val="minMax"/>
          <c:max val="4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/>
                  <a:t>capacity [MWh]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9038688"/>
        <c:crosses val="autoZero"/>
        <c:crossBetween val="midCat"/>
        <c:dispUnits>
          <c:builtInUnit val="thousands"/>
        </c:dispUnits>
      </c:valAx>
      <c:valAx>
        <c:axId val="16903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 baseline="0"/>
                  <a:t>CAPEX [CHF/MWh]</a:t>
                </a:r>
                <a:endParaRPr lang="de-CH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9036288"/>
        <c:crosses val="autoZero"/>
        <c:crossBetween val="midCat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437205916731019"/>
          <c:y val="0.16012969481599085"/>
          <c:w val="0.73566779268175131"/>
          <c:h val="0.59120255391993448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CAPEX!$B$67:$M$67</c:f>
              <c:strCache>
                <c:ptCount val="1"/>
                <c:pt idx="0">
                  <c:v>BTES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75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15474770820964243"/>
                  <c:y val="-0.227211258437936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CAPEX!$G$69:$G$81</c:f>
              <c:numCache>
                <c:formatCode>0</c:formatCode>
                <c:ptCount val="13"/>
                <c:pt idx="3">
                  <c:v>2160</c:v>
                </c:pt>
                <c:pt idx="5">
                  <c:v>21000</c:v>
                </c:pt>
                <c:pt idx="6">
                  <c:v>5040</c:v>
                </c:pt>
                <c:pt idx="7">
                  <c:v>3600</c:v>
                </c:pt>
                <c:pt idx="8">
                  <c:v>4400</c:v>
                </c:pt>
                <c:pt idx="9">
                  <c:v>17388</c:v>
                </c:pt>
                <c:pt idx="10">
                  <c:v>172244</c:v>
                </c:pt>
                <c:pt idx="12">
                  <c:v>32200</c:v>
                </c:pt>
              </c:numCache>
            </c:numRef>
          </c:xVal>
          <c:yVal>
            <c:numRef>
              <c:f>CAPEX!$L$69:$L$81</c:f>
              <c:numCache>
                <c:formatCode>0</c:formatCode>
                <c:ptCount val="13"/>
                <c:pt idx="3">
                  <c:v>618.50252310886049</c:v>
                </c:pt>
                <c:pt idx="5">
                  <c:v>106.85636247690084</c:v>
                </c:pt>
                <c:pt idx="6">
                  <c:v>126.99777591868344</c:v>
                </c:pt>
                <c:pt idx="7">
                  <c:v>105.19225302227971</c:v>
                </c:pt>
                <c:pt idx="8">
                  <c:v>172.45179712645461</c:v>
                </c:pt>
                <c:pt idx="9">
                  <c:v>56.440728471017167</c:v>
                </c:pt>
                <c:pt idx="10">
                  <c:v>9.0116385044766343</c:v>
                </c:pt>
                <c:pt idx="12">
                  <c:v>139.94996957609357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790-4086-9328-3C2DF71D8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395200"/>
        <c:axId val="1348394240"/>
      </c:scatterChart>
      <c:valAx>
        <c:axId val="134839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/>
                  <a:t>tot.</a:t>
                </a:r>
                <a:r>
                  <a:rPr lang="de-CH" sz="1400" baseline="0"/>
                  <a:t> borehole length</a:t>
                </a:r>
                <a:r>
                  <a:rPr lang="de-CH" sz="1400"/>
                  <a:t>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8394240"/>
        <c:crosses val="autoZero"/>
        <c:crossBetween val="midCat"/>
        <c:dispUnits>
          <c:builtInUnit val="thousands"/>
        </c:dispUnits>
      </c:valAx>
      <c:valAx>
        <c:axId val="134839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/>
                  <a:t>CAPEX</a:t>
                </a:r>
                <a:r>
                  <a:rPr lang="de-CH" sz="1400" baseline="0"/>
                  <a:t> [CHF/m]</a:t>
                </a:r>
                <a:endParaRPr lang="de-CH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839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174146735933699"/>
          <c:y val="0.14689614059846523"/>
          <c:w val="0.76341284461920922"/>
          <c:h val="0.60381574719413511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CAPEX!$B$85:$L$85</c:f>
              <c:strCache>
                <c:ptCount val="1"/>
                <c:pt idx="0">
                  <c:v>ATES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36013088423825679"/>
                  <c:y val="-0.269965645210509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CAPEX!$E$87:$E$102</c:f>
              <c:numCache>
                <c:formatCode>0</c:formatCode>
                <c:ptCount val="16"/>
                <c:pt idx="0">
                  <c:v>520</c:v>
                </c:pt>
                <c:pt idx="1">
                  <c:v>480</c:v>
                </c:pt>
                <c:pt idx="2">
                  <c:v>810</c:v>
                </c:pt>
                <c:pt idx="3">
                  <c:v>300</c:v>
                </c:pt>
                <c:pt idx="4">
                  <c:v>40</c:v>
                </c:pt>
                <c:pt idx="5">
                  <c:v>130</c:v>
                </c:pt>
                <c:pt idx="6">
                  <c:v>750</c:v>
                </c:pt>
                <c:pt idx="7">
                  <c:v>300</c:v>
                </c:pt>
                <c:pt idx="8">
                  <c:v>134</c:v>
                </c:pt>
                <c:pt idx="9">
                  <c:v>360</c:v>
                </c:pt>
                <c:pt idx="10">
                  <c:v>220</c:v>
                </c:pt>
                <c:pt idx="11">
                  <c:v>1100</c:v>
                </c:pt>
                <c:pt idx="12">
                  <c:v>2880</c:v>
                </c:pt>
                <c:pt idx="13">
                  <c:v>120</c:v>
                </c:pt>
                <c:pt idx="14">
                  <c:v>560</c:v>
                </c:pt>
                <c:pt idx="15">
                  <c:v>1100</c:v>
                </c:pt>
              </c:numCache>
            </c:numRef>
          </c:xVal>
          <c:yVal>
            <c:numRef>
              <c:f>CAPEX!$K$87:$K$102</c:f>
              <c:numCache>
                <c:formatCode>0</c:formatCode>
                <c:ptCount val="16"/>
                <c:pt idx="0">
                  <c:v>4713.7533362639388</c:v>
                </c:pt>
                <c:pt idx="1">
                  <c:v>3990.0805116807728</c:v>
                </c:pt>
                <c:pt idx="2">
                  <c:v>6268.5143787757306</c:v>
                </c:pt>
                <c:pt idx="3">
                  <c:v>8227.2863738924152</c:v>
                </c:pt>
                <c:pt idx="4">
                  <c:v>47752.723219229018</c:v>
                </c:pt>
                <c:pt idx="5">
                  <c:v>9669.4955650024367</c:v>
                </c:pt>
                <c:pt idx="6">
                  <c:v>804.16700955985482</c:v>
                </c:pt>
                <c:pt idx="7">
                  <c:v>824.48451278810251</c:v>
                </c:pt>
                <c:pt idx="8">
                  <c:v>4350.2190587464565</c:v>
                </c:pt>
                <c:pt idx="9">
                  <c:v>8280.1511088877796</c:v>
                </c:pt>
                <c:pt idx="10">
                  <c:v>36696.117814386685</c:v>
                </c:pt>
                <c:pt idx="11">
                  <c:v>10622.524724155042</c:v>
                </c:pt>
                <c:pt idx="12">
                  <c:v>8521.1026328121898</c:v>
                </c:pt>
                <c:pt idx="13">
                  <c:v>3750.2413795957355</c:v>
                </c:pt>
                <c:pt idx="14">
                  <c:v>6882.0499505083571</c:v>
                </c:pt>
                <c:pt idx="15">
                  <c:v>1539.5697504921336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C8-4B60-807C-8AD128984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395200"/>
        <c:axId val="1348394240"/>
      </c:scatterChart>
      <c:valAx>
        <c:axId val="1348395200"/>
        <c:scaling>
          <c:orientation val="minMax"/>
          <c:max val="15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/>
                  <a:t>tot. borehole</a:t>
                </a:r>
                <a:r>
                  <a:rPr lang="de-CH" sz="1400" baseline="0"/>
                  <a:t> length</a:t>
                </a:r>
                <a:r>
                  <a:rPr lang="de-CH" sz="1400"/>
                  <a:t>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8394240"/>
        <c:crosses val="autoZero"/>
        <c:crossBetween val="midCat"/>
      </c:valAx>
      <c:valAx>
        <c:axId val="134839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/>
                  <a:t>CAPEX</a:t>
                </a:r>
                <a:r>
                  <a:rPr lang="de-CH" sz="1400" baseline="0"/>
                  <a:t> [CHF/m]</a:t>
                </a:r>
                <a:endParaRPr lang="de-CH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8395200"/>
        <c:crosses val="autoZero"/>
        <c:crossBetween val="midCat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837466928999602"/>
          <c:y val="0.13000714285714285"/>
          <c:w val="0.44095706599369849"/>
          <c:h val="0.66608452380952377"/>
        </c:manualLayout>
      </c:layout>
      <c:scatterChart>
        <c:scatterStyle val="smoothMarker"/>
        <c:varyColors val="0"/>
        <c:ser>
          <c:idx val="1"/>
          <c:order val="0"/>
          <c:tx>
            <c:strRef>
              <c:f>CAPEX!$L$129</c:f>
              <c:strCache>
                <c:ptCount val="1"/>
                <c:pt idx="0">
                  <c:v>BTES (flexynets)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CAPEX!$B$133:$B$160</c:f>
              <c:numCache>
                <c:formatCode>General</c:formatCode>
                <c:ptCount val="28"/>
                <c:pt idx="0">
                  <c:v>2000</c:v>
                </c:pt>
                <c:pt idx="1">
                  <c:v>3000</c:v>
                </c:pt>
                <c:pt idx="2">
                  <c:v>4000</c:v>
                </c:pt>
                <c:pt idx="3">
                  <c:v>5000</c:v>
                </c:pt>
                <c:pt idx="4">
                  <c:v>6000</c:v>
                </c:pt>
                <c:pt idx="5">
                  <c:v>7000</c:v>
                </c:pt>
                <c:pt idx="6">
                  <c:v>8000</c:v>
                </c:pt>
                <c:pt idx="7">
                  <c:v>9000</c:v>
                </c:pt>
                <c:pt idx="8">
                  <c:v>10000</c:v>
                </c:pt>
                <c:pt idx="9">
                  <c:v>20000</c:v>
                </c:pt>
                <c:pt idx="10">
                  <c:v>30000</c:v>
                </c:pt>
                <c:pt idx="11">
                  <c:v>40000</c:v>
                </c:pt>
                <c:pt idx="12">
                  <c:v>50000</c:v>
                </c:pt>
                <c:pt idx="13">
                  <c:v>60000</c:v>
                </c:pt>
                <c:pt idx="14">
                  <c:v>70000</c:v>
                </c:pt>
                <c:pt idx="15">
                  <c:v>80000</c:v>
                </c:pt>
                <c:pt idx="16">
                  <c:v>90000</c:v>
                </c:pt>
                <c:pt idx="17">
                  <c:v>100000</c:v>
                </c:pt>
                <c:pt idx="18">
                  <c:v>110000</c:v>
                </c:pt>
                <c:pt idx="19">
                  <c:v>120000</c:v>
                </c:pt>
                <c:pt idx="20">
                  <c:v>130000</c:v>
                </c:pt>
                <c:pt idx="21">
                  <c:v>140000</c:v>
                </c:pt>
                <c:pt idx="22">
                  <c:v>150000</c:v>
                </c:pt>
                <c:pt idx="23">
                  <c:v>160000</c:v>
                </c:pt>
                <c:pt idx="24">
                  <c:v>170000</c:v>
                </c:pt>
                <c:pt idx="25">
                  <c:v>180000</c:v>
                </c:pt>
                <c:pt idx="26">
                  <c:v>190000</c:v>
                </c:pt>
                <c:pt idx="27">
                  <c:v>200000</c:v>
                </c:pt>
              </c:numCache>
            </c:numRef>
          </c:xVal>
          <c:yVal>
            <c:numRef>
              <c:f>CAPEX!$L$133:$L$160</c:f>
              <c:numCache>
                <c:formatCode>0</c:formatCode>
                <c:ptCount val="28"/>
                <c:pt idx="0">
                  <c:v>144.1352976803602</c:v>
                </c:pt>
                <c:pt idx="1">
                  <c:v>110.78657143369725</c:v>
                </c:pt>
                <c:pt idx="2">
                  <c:v>91.918278534666428</c:v>
                </c:pt>
                <c:pt idx="3">
                  <c:v>79.525660303761825</c:v>
                </c:pt>
                <c:pt idx="4">
                  <c:v>70.651055604201773</c:v>
                </c:pt>
                <c:pt idx="5">
                  <c:v>63.924919323695114</c:v>
                </c:pt>
                <c:pt idx="6">
                  <c:v>58.61832642489329</c:v>
                </c:pt>
                <c:pt idx="7">
                  <c:v>54.304451057636705</c:v>
                </c:pt>
                <c:pt idx="8">
                  <c:v>50.715278714482999</c:v>
                </c:pt>
                <c:pt idx="9">
                  <c:v>32.342258904400822</c:v>
                </c:pt>
                <c:pt idx="10">
                  <c:v>24.85919850379414</c:v>
                </c:pt>
                <c:pt idx="11">
                  <c:v>20.625376366916758</c:v>
                </c:pt>
                <c:pt idx="12">
                  <c:v>17.844619163249995</c:v>
                </c:pt>
                <c:pt idx="13">
                  <c:v>15.853262656643944</c:v>
                </c:pt>
                <c:pt idx="14">
                  <c:v>14.343997094971121</c:v>
                </c:pt>
                <c:pt idx="15">
                  <c:v>13.153260306721581</c:v>
                </c:pt>
                <c:pt idx="16">
                  <c:v>12.185277610917689</c:v>
                </c:pt>
                <c:pt idx="17">
                  <c:v>11.379909716703338</c:v>
                </c:pt>
                <c:pt idx="18">
                  <c:v>10.69731941872775</c:v>
                </c:pt>
                <c:pt idx="19">
                  <c:v>10.109977472611705</c:v>
                </c:pt>
                <c:pt idx="20">
                  <c:v>9.5981952645179049</c:v>
                </c:pt>
                <c:pt idx="21">
                  <c:v>9.1474853245171204</c:v>
                </c:pt>
                <c:pt idx="22">
                  <c:v>8.7469287608816444</c:v>
                </c:pt>
                <c:pt idx="23">
                  <c:v>8.388126045248022</c:v>
                </c:pt>
                <c:pt idx="24">
                  <c:v>8.0645003777928626</c:v>
                </c:pt>
                <c:pt idx="25">
                  <c:v>7.7708219949455479</c:v>
                </c:pt>
                <c:pt idx="26">
                  <c:v>7.5028753197187044</c:v>
                </c:pt>
                <c:pt idx="27">
                  <c:v>7.2572210129887207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8BD-4B38-BE7A-6A77BB49E393}"/>
            </c:ext>
          </c:extLst>
        </c:ser>
        <c:ser>
          <c:idx val="4"/>
          <c:order val="1"/>
          <c:tx>
            <c:strRef>
              <c:f>CAPEX!$M$129</c:f>
              <c:strCache>
                <c:ptCount val="1"/>
                <c:pt idx="0">
                  <c:v>BTES (IEA)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CAPEX!$B$134:$B$160</c:f>
              <c:numCache>
                <c:formatCode>General</c:formatCode>
                <c:ptCount val="27"/>
                <c:pt idx="0">
                  <c:v>3000</c:v>
                </c:pt>
                <c:pt idx="1">
                  <c:v>4000</c:v>
                </c:pt>
                <c:pt idx="2">
                  <c:v>5000</c:v>
                </c:pt>
                <c:pt idx="3">
                  <c:v>6000</c:v>
                </c:pt>
                <c:pt idx="4">
                  <c:v>7000</c:v>
                </c:pt>
                <c:pt idx="5">
                  <c:v>8000</c:v>
                </c:pt>
                <c:pt idx="6">
                  <c:v>9000</c:v>
                </c:pt>
                <c:pt idx="7">
                  <c:v>10000</c:v>
                </c:pt>
                <c:pt idx="8">
                  <c:v>20000</c:v>
                </c:pt>
                <c:pt idx="9">
                  <c:v>30000</c:v>
                </c:pt>
                <c:pt idx="10">
                  <c:v>40000</c:v>
                </c:pt>
                <c:pt idx="11">
                  <c:v>50000</c:v>
                </c:pt>
                <c:pt idx="12">
                  <c:v>60000</c:v>
                </c:pt>
                <c:pt idx="13">
                  <c:v>70000</c:v>
                </c:pt>
                <c:pt idx="14">
                  <c:v>80000</c:v>
                </c:pt>
                <c:pt idx="15">
                  <c:v>90000</c:v>
                </c:pt>
                <c:pt idx="16">
                  <c:v>100000</c:v>
                </c:pt>
                <c:pt idx="17">
                  <c:v>110000</c:v>
                </c:pt>
                <c:pt idx="18">
                  <c:v>120000</c:v>
                </c:pt>
                <c:pt idx="19">
                  <c:v>130000</c:v>
                </c:pt>
                <c:pt idx="20">
                  <c:v>140000</c:v>
                </c:pt>
                <c:pt idx="21">
                  <c:v>150000</c:v>
                </c:pt>
                <c:pt idx="22">
                  <c:v>160000</c:v>
                </c:pt>
                <c:pt idx="23">
                  <c:v>170000</c:v>
                </c:pt>
                <c:pt idx="24">
                  <c:v>180000</c:v>
                </c:pt>
                <c:pt idx="25">
                  <c:v>190000</c:v>
                </c:pt>
                <c:pt idx="26">
                  <c:v>200000</c:v>
                </c:pt>
              </c:numCache>
            </c:numRef>
          </c:xVal>
          <c:yVal>
            <c:numRef>
              <c:f>CAPEX!$M$134:$M$160</c:f>
              <c:numCache>
                <c:formatCode>0</c:formatCode>
                <c:ptCount val="27"/>
                <c:pt idx="0">
                  <c:v>159.3078042737412</c:v>
                </c:pt>
                <c:pt idx="1">
                  <c:v>137.13890429842601</c:v>
                </c:pt>
                <c:pt idx="2">
                  <c:v>122.71267913764271</c:v>
                </c:pt>
                <c:pt idx="3">
                  <c:v>112.45723118317473</c:v>
                </c:pt>
                <c:pt idx="4">
                  <c:v>104.73162187616896</c:v>
                </c:pt>
                <c:pt idx="5">
                  <c:v>98.668046228124595</c:v>
                </c:pt>
                <c:pt idx="6">
                  <c:v>93.761085488401363</c:v>
                </c:pt>
                <c:pt idx="7">
                  <c:v>89.694850121563604</c:v>
                </c:pt>
                <c:pt idx="8">
                  <c:v>69.157568090254316</c:v>
                </c:pt>
                <c:pt idx="9">
                  <c:v>60.961979611757677</c:v>
                </c:pt>
                <c:pt idx="10">
                  <c:v>56.38325900324125</c:v>
                </c:pt>
                <c:pt idx="11">
                  <c:v>53.403695086207613</c:v>
                </c:pt>
                <c:pt idx="12">
                  <c:v>51.285555216797015</c:v>
                </c:pt>
                <c:pt idx="13">
                  <c:v>49.689923201373539</c:v>
                </c:pt>
                <c:pt idx="14">
                  <c:v>48.437564319700861</c:v>
                </c:pt>
                <c:pt idx="15">
                  <c:v>47.424090385984286</c:v>
                </c:pt>
                <c:pt idx="16">
                  <c:v>46.584258202432125</c:v>
                </c:pt>
                <c:pt idx="17">
                  <c:v>45.875026963460712</c:v>
                </c:pt>
                <c:pt idx="18">
                  <c:v>45.266762862000668</c:v>
                </c:pt>
                <c:pt idx="19">
                  <c:v>44.738342641089027</c:v>
                </c:pt>
                <c:pt idx="20">
                  <c:v>44.274270451219223</c:v>
                </c:pt>
                <c:pt idx="21">
                  <c:v>43.862900124508215</c:v>
                </c:pt>
                <c:pt idx="22">
                  <c:v>43.495295929762882</c:v>
                </c:pt>
                <c:pt idx="23">
                  <c:v>43.164478157595127</c:v>
                </c:pt>
                <c:pt idx="24">
                  <c:v>42.864909237834077</c:v>
                </c:pt>
                <c:pt idx="25">
                  <c:v>42.59213499253606</c:v>
                </c:pt>
                <c:pt idx="26">
                  <c:v>42.342528726257079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8BD-4B38-BE7A-6A77BB49E393}"/>
            </c:ext>
          </c:extLst>
        </c:ser>
        <c:ser>
          <c:idx val="2"/>
          <c:order val="2"/>
          <c:tx>
            <c:strRef>
              <c:f>CAPEX!$N$129</c:f>
              <c:strCache>
                <c:ptCount val="1"/>
                <c:pt idx="0">
                  <c:v>BTES (MYDATA)</c:v>
                </c:pt>
              </c:strCache>
            </c:strRef>
          </c:tx>
          <c:spPr>
            <a:ln w="22225" cap="rnd">
              <a:solidFill>
                <a:schemeClr val="tx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CAPEX!$B$134:$B$160</c:f>
              <c:numCache>
                <c:formatCode>General</c:formatCode>
                <c:ptCount val="27"/>
                <c:pt idx="0">
                  <c:v>3000</c:v>
                </c:pt>
                <c:pt idx="1">
                  <c:v>4000</c:v>
                </c:pt>
                <c:pt idx="2">
                  <c:v>5000</c:v>
                </c:pt>
                <c:pt idx="3">
                  <c:v>6000</c:v>
                </c:pt>
                <c:pt idx="4">
                  <c:v>7000</c:v>
                </c:pt>
                <c:pt idx="5">
                  <c:v>8000</c:v>
                </c:pt>
                <c:pt idx="6">
                  <c:v>9000</c:v>
                </c:pt>
                <c:pt idx="7">
                  <c:v>10000</c:v>
                </c:pt>
                <c:pt idx="8">
                  <c:v>20000</c:v>
                </c:pt>
                <c:pt idx="9">
                  <c:v>30000</c:v>
                </c:pt>
                <c:pt idx="10">
                  <c:v>40000</c:v>
                </c:pt>
                <c:pt idx="11">
                  <c:v>50000</c:v>
                </c:pt>
                <c:pt idx="12">
                  <c:v>60000</c:v>
                </c:pt>
                <c:pt idx="13">
                  <c:v>70000</c:v>
                </c:pt>
                <c:pt idx="14">
                  <c:v>80000</c:v>
                </c:pt>
                <c:pt idx="15">
                  <c:v>90000</c:v>
                </c:pt>
                <c:pt idx="16">
                  <c:v>100000</c:v>
                </c:pt>
                <c:pt idx="17">
                  <c:v>110000</c:v>
                </c:pt>
                <c:pt idx="18">
                  <c:v>120000</c:v>
                </c:pt>
                <c:pt idx="19">
                  <c:v>130000</c:v>
                </c:pt>
                <c:pt idx="20">
                  <c:v>140000</c:v>
                </c:pt>
                <c:pt idx="21">
                  <c:v>150000</c:v>
                </c:pt>
                <c:pt idx="22">
                  <c:v>160000</c:v>
                </c:pt>
                <c:pt idx="23">
                  <c:v>170000</c:v>
                </c:pt>
                <c:pt idx="24">
                  <c:v>180000</c:v>
                </c:pt>
                <c:pt idx="25">
                  <c:v>190000</c:v>
                </c:pt>
                <c:pt idx="26">
                  <c:v>200000</c:v>
                </c:pt>
              </c:numCache>
            </c:numRef>
          </c:xVal>
          <c:yVal>
            <c:numRef>
              <c:f>CAPEX!$N$134:$N$160</c:f>
              <c:numCache>
                <c:formatCode>0</c:formatCode>
                <c:ptCount val="27"/>
                <c:pt idx="0">
                  <c:v>186.49261769357551</c:v>
                </c:pt>
                <c:pt idx="1">
                  <c:v>142.96122218332272</c:v>
                </c:pt>
                <c:pt idx="2">
                  <c:v>116.32509082630158</c:v>
                </c:pt>
                <c:pt idx="3">
                  <c:v>98.290134408918306</c:v>
                </c:pt>
                <c:pt idx="4">
                  <c:v>85.241502339237883</c:v>
                </c:pt>
                <c:pt idx="5">
                  <c:v>75.347099083301018</c:v>
                </c:pt>
                <c:pt idx="6">
                  <c:v>67.577419768660832</c:v>
                </c:pt>
                <c:pt idx="7">
                  <c:v>61.308640276760293</c:v>
                </c:pt>
                <c:pt idx="8">
                  <c:v>32.312455944675094</c:v>
                </c:pt>
                <c:pt idx="9">
                  <c:v>22.215784038357615</c:v>
                </c:pt>
                <c:pt idx="10">
                  <c:v>17.030141338370932</c:v>
                </c:pt>
                <c:pt idx="11">
                  <c:v>13.857133477989024</c:v>
                </c:pt>
                <c:pt idx="12">
                  <c:v>11.708733708256029</c:v>
                </c:pt>
                <c:pt idx="13">
                  <c:v>10.154325841386378</c:v>
                </c:pt>
                <c:pt idx="14">
                  <c:v>8.9756629611029144</c:v>
                </c:pt>
                <c:pt idx="15">
                  <c:v>8.0501061222528385</c:v>
                </c:pt>
                <c:pt idx="16">
                  <c:v>7.3033427752715969</c:v>
                </c:pt>
                <c:pt idx="17">
                  <c:v>6.6876701281713906</c:v>
                </c:pt>
                <c:pt idx="18">
                  <c:v>6.1710378897339133</c:v>
                </c:pt>
                <c:pt idx="19">
                  <c:v>5.7311005330907845</c:v>
                </c:pt>
                <c:pt idx="20">
                  <c:v>5.3517938893524493</c:v>
                </c:pt>
                <c:pt idx="21">
                  <c:v>5.0212675301232013</c:v>
                </c:pt>
                <c:pt idx="22">
                  <c:v>4.7305846728234693</c:v>
                </c:pt>
                <c:pt idx="23">
                  <c:v>4.4728762308150651</c:v>
                </c:pt>
                <c:pt idx="24">
                  <c:v>4.2427739100234918</c:v>
                </c:pt>
                <c:pt idx="25">
                  <c:v>4.0360204401705202</c:v>
                </c:pt>
                <c:pt idx="26">
                  <c:v>3.8491954903830798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8BD-4B38-BE7A-6A77BB49E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728992"/>
        <c:axId val="297729952"/>
      </c:scatterChart>
      <c:valAx>
        <c:axId val="297728992"/>
        <c:scaling>
          <c:orientation val="minMax"/>
          <c:max val="2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/>
                  <a:t>storage volume</a:t>
                </a:r>
                <a:r>
                  <a:rPr lang="de-CH" sz="1400" baseline="0"/>
                  <a:t> [m</a:t>
                </a:r>
                <a:r>
                  <a:rPr lang="de-CH" sz="1400" baseline="30000"/>
                  <a:t>3</a:t>
                </a:r>
                <a:r>
                  <a:rPr lang="de-CH" sz="1400" baseline="0"/>
                  <a:t>]</a:t>
                </a:r>
                <a:endParaRPr lang="de-CH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97729952"/>
        <c:crosses val="autoZero"/>
        <c:crossBetween val="midCat"/>
        <c:dispUnits>
          <c:builtInUnit val="thousands"/>
        </c:dispUnits>
      </c:valAx>
      <c:valAx>
        <c:axId val="297729952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 baseline="0"/>
                  <a:t>CAPEX [CHF/m</a:t>
                </a:r>
                <a:r>
                  <a:rPr lang="de-CH" sz="1400" baseline="30000"/>
                  <a:t>3</a:t>
                </a:r>
                <a:r>
                  <a:rPr lang="de-CH" sz="1400" baseline="0"/>
                  <a:t>]</a:t>
                </a:r>
                <a:endParaRPr lang="de-CH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97728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837466928999602"/>
          <c:y val="0.12496746031746032"/>
          <c:w val="0.45259326024217256"/>
          <c:h val="0.6711242063492062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CAPEX!$I$129</c:f>
              <c:strCache>
                <c:ptCount val="1"/>
                <c:pt idx="0">
                  <c:v>TTES (DEA)</c:v>
                </c:pt>
              </c:strCache>
            </c:strRef>
          </c:tx>
          <c:spPr>
            <a:ln w="22225" cap="rnd">
              <a:solidFill>
                <a:srgbClr val="B381D9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CAPEX!$B$141:$B$160</c:f>
              <c:numCache>
                <c:formatCode>General</c:formatCode>
                <c:ptCount val="2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140000</c:v>
                </c:pt>
                <c:pt idx="14">
                  <c:v>150000</c:v>
                </c:pt>
                <c:pt idx="15">
                  <c:v>160000</c:v>
                </c:pt>
                <c:pt idx="16">
                  <c:v>170000</c:v>
                </c:pt>
                <c:pt idx="17">
                  <c:v>180000</c:v>
                </c:pt>
                <c:pt idx="18">
                  <c:v>190000</c:v>
                </c:pt>
                <c:pt idx="19">
                  <c:v>200000</c:v>
                </c:pt>
              </c:numCache>
            </c:numRef>
          </c:xVal>
          <c:yVal>
            <c:numRef>
              <c:f>CAPEX!$I$141:$I$160</c:f>
              <c:numCache>
                <c:formatCode>0</c:formatCode>
                <c:ptCount val="20"/>
                <c:pt idx="0">
                  <c:v>112.62018137969153</c:v>
                </c:pt>
                <c:pt idx="1">
                  <c:v>81.307783949587844</c:v>
                </c:pt>
                <c:pt idx="2">
                  <c:v>67.199993761694515</c:v>
                </c:pt>
                <c:pt idx="3">
                  <c:v>58.701341534022646</c:v>
                </c:pt>
                <c:pt idx="4">
                  <c:v>52.856733477207364</c:v>
                </c:pt>
                <c:pt idx="5">
                  <c:v>48.516016465720149</c:v>
                </c:pt>
                <c:pt idx="6">
                  <c:v>45.125304308780244</c:v>
                </c:pt>
                <c:pt idx="7">
                  <c:v>42.380290428656295</c:v>
                </c:pt>
                <c:pt idx="8">
                  <c:v>40.097956744954352</c:v>
                </c:pt>
                <c:pt idx="9">
                  <c:v>38.160690323845508</c:v>
                </c:pt>
                <c:pt idx="10">
                  <c:v>36.488974707714668</c:v>
                </c:pt>
                <c:pt idx="11">
                  <c:v>35.026846312651728</c:v>
                </c:pt>
                <c:pt idx="12">
                  <c:v>33.733612112790418</c:v>
                </c:pt>
                <c:pt idx="13">
                  <c:v>32.578872174142468</c:v>
                </c:pt>
                <c:pt idx="14">
                  <c:v>31.539392997038817</c:v>
                </c:pt>
                <c:pt idx="15">
                  <c:v>30.59706933232971</c:v>
                </c:pt>
                <c:pt idx="16">
                  <c:v>29.737553023071015</c:v>
                </c:pt>
                <c:pt idx="17">
                  <c:v>28.949305212418892</c:v>
                </c:pt>
                <c:pt idx="18">
                  <c:v>28.222925542328223</c:v>
                </c:pt>
                <c:pt idx="19">
                  <c:v>27.550667439946668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7D-4EE1-8477-3B15FD37C5BA}"/>
            </c:ext>
          </c:extLst>
        </c:ser>
        <c:ser>
          <c:idx val="1"/>
          <c:order val="1"/>
          <c:tx>
            <c:strRef>
              <c:f>CAPEX!$H$129</c:f>
              <c:strCache>
                <c:ptCount val="1"/>
                <c:pt idx="0">
                  <c:v>TTES (flexynets)</c:v>
                </c:pt>
              </c:strCache>
            </c:strRef>
          </c:tx>
          <c:spPr>
            <a:ln w="22225" cap="rnd">
              <a:solidFill>
                <a:srgbClr val="B381D9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CAPEX!$B$133:$B$160</c:f>
              <c:numCache>
                <c:formatCode>General</c:formatCode>
                <c:ptCount val="28"/>
                <c:pt idx="0">
                  <c:v>2000</c:v>
                </c:pt>
                <c:pt idx="1">
                  <c:v>3000</c:v>
                </c:pt>
                <c:pt idx="2">
                  <c:v>4000</c:v>
                </c:pt>
                <c:pt idx="3">
                  <c:v>5000</c:v>
                </c:pt>
                <c:pt idx="4">
                  <c:v>6000</c:v>
                </c:pt>
                <c:pt idx="5">
                  <c:v>7000</c:v>
                </c:pt>
                <c:pt idx="6">
                  <c:v>8000</c:v>
                </c:pt>
                <c:pt idx="7">
                  <c:v>9000</c:v>
                </c:pt>
                <c:pt idx="8">
                  <c:v>10000</c:v>
                </c:pt>
                <c:pt idx="9">
                  <c:v>20000</c:v>
                </c:pt>
                <c:pt idx="10">
                  <c:v>30000</c:v>
                </c:pt>
                <c:pt idx="11">
                  <c:v>40000</c:v>
                </c:pt>
                <c:pt idx="12">
                  <c:v>50000</c:v>
                </c:pt>
                <c:pt idx="13">
                  <c:v>60000</c:v>
                </c:pt>
                <c:pt idx="14">
                  <c:v>70000</c:v>
                </c:pt>
                <c:pt idx="15">
                  <c:v>80000</c:v>
                </c:pt>
                <c:pt idx="16">
                  <c:v>90000</c:v>
                </c:pt>
                <c:pt idx="17">
                  <c:v>100000</c:v>
                </c:pt>
                <c:pt idx="18">
                  <c:v>110000</c:v>
                </c:pt>
                <c:pt idx="19">
                  <c:v>120000</c:v>
                </c:pt>
                <c:pt idx="20">
                  <c:v>130000</c:v>
                </c:pt>
                <c:pt idx="21">
                  <c:v>140000</c:v>
                </c:pt>
                <c:pt idx="22">
                  <c:v>150000</c:v>
                </c:pt>
                <c:pt idx="23">
                  <c:v>160000</c:v>
                </c:pt>
                <c:pt idx="24">
                  <c:v>170000</c:v>
                </c:pt>
                <c:pt idx="25">
                  <c:v>180000</c:v>
                </c:pt>
                <c:pt idx="26">
                  <c:v>190000</c:v>
                </c:pt>
                <c:pt idx="27">
                  <c:v>200000</c:v>
                </c:pt>
              </c:numCache>
            </c:numRef>
          </c:xVal>
          <c:yVal>
            <c:numRef>
              <c:f>CAPEX!$H$133:$H$160</c:f>
              <c:numCache>
                <c:formatCode>0</c:formatCode>
                <c:ptCount val="28"/>
                <c:pt idx="0">
                  <c:v>232.09438854885335</c:v>
                </c:pt>
                <c:pt idx="1">
                  <c:v>194.56510051852476</c:v>
                </c:pt>
                <c:pt idx="2">
                  <c:v>171.67876969296003</c:v>
                </c:pt>
                <c:pt idx="3">
                  <c:v>155.79759046535511</c:v>
                </c:pt>
                <c:pt idx="4">
                  <c:v>143.91858972142498</c:v>
                </c:pt>
                <c:pt idx="5">
                  <c:v>134.58449868947622</c:v>
                </c:pt>
                <c:pt idx="6">
                  <c:v>126.98971374348652</c:v>
                </c:pt>
                <c:pt idx="7">
                  <c:v>120.6471860466344</c:v>
                </c:pt>
                <c:pt idx="8">
                  <c:v>115.24250465275604</c:v>
                </c:pt>
                <c:pt idx="9">
                  <c:v>85.244160958919196</c:v>
                </c:pt>
                <c:pt idx="10">
                  <c:v>71.460317715084827</c:v>
                </c:pt>
                <c:pt idx="11">
                  <c:v>63.054573479511248</c:v>
                </c:pt>
                <c:pt idx="12">
                  <c:v>57.22169743817409</c:v>
                </c:pt>
                <c:pt idx="13">
                  <c:v>52.858750717324973</c:v>
                </c:pt>
                <c:pt idx="14">
                  <c:v>49.430504290052312</c:v>
                </c:pt>
                <c:pt idx="15">
                  <c:v>46.641074203300946</c:v>
                </c:pt>
                <c:pt idx="16">
                  <c:v>44.311576039828303</c:v>
                </c:pt>
                <c:pt idx="17">
                  <c:v>42.326532224025492</c:v>
                </c:pt>
                <c:pt idx="18">
                  <c:v>40.607557741153933</c:v>
                </c:pt>
                <c:pt idx="19">
                  <c:v>39.099287782854276</c:v>
                </c:pt>
                <c:pt idx="20">
                  <c:v>37.761334176423397</c:v>
                </c:pt>
                <c:pt idx="21">
                  <c:v>36.563435311287208</c:v>
                </c:pt>
                <c:pt idx="22">
                  <c:v>35.482400278000078</c:v>
                </c:pt>
                <c:pt idx="23">
                  <c:v>34.500111297155811</c:v>
                </c:pt>
                <c:pt idx="24">
                  <c:v>33.602176429083606</c:v>
                </c:pt>
                <c:pt idx="25">
                  <c:v>32.776996054226039</c:v>
                </c:pt>
                <c:pt idx="26">
                  <c:v>32.015100697026334</c:v>
                </c:pt>
                <c:pt idx="27">
                  <c:v>31.30867154102085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7D-4EE1-8477-3B15FD37C5BA}"/>
            </c:ext>
          </c:extLst>
        </c:ser>
        <c:ser>
          <c:idx val="4"/>
          <c:order val="2"/>
          <c:tx>
            <c:strRef>
              <c:f>CAPEX!$J$129</c:f>
              <c:strCache>
                <c:ptCount val="1"/>
                <c:pt idx="0">
                  <c:v>TTES (IEA)</c:v>
                </c:pt>
              </c:strCache>
            </c:strRef>
          </c:tx>
          <c:spPr>
            <a:ln w="22225" cap="rnd">
              <a:solidFill>
                <a:srgbClr val="B381D9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CAPEX!$B$133:$B$160</c:f>
              <c:numCache>
                <c:formatCode>General</c:formatCode>
                <c:ptCount val="28"/>
                <c:pt idx="0">
                  <c:v>2000</c:v>
                </c:pt>
                <c:pt idx="1">
                  <c:v>3000</c:v>
                </c:pt>
                <c:pt idx="2">
                  <c:v>4000</c:v>
                </c:pt>
                <c:pt idx="3">
                  <c:v>5000</c:v>
                </c:pt>
                <c:pt idx="4">
                  <c:v>6000</c:v>
                </c:pt>
                <c:pt idx="5">
                  <c:v>7000</c:v>
                </c:pt>
                <c:pt idx="6">
                  <c:v>8000</c:v>
                </c:pt>
                <c:pt idx="7">
                  <c:v>9000</c:v>
                </c:pt>
                <c:pt idx="8">
                  <c:v>10000</c:v>
                </c:pt>
                <c:pt idx="9">
                  <c:v>20000</c:v>
                </c:pt>
                <c:pt idx="10">
                  <c:v>30000</c:v>
                </c:pt>
                <c:pt idx="11">
                  <c:v>40000</c:v>
                </c:pt>
                <c:pt idx="12">
                  <c:v>50000</c:v>
                </c:pt>
                <c:pt idx="13">
                  <c:v>60000</c:v>
                </c:pt>
                <c:pt idx="14">
                  <c:v>70000</c:v>
                </c:pt>
                <c:pt idx="15">
                  <c:v>80000</c:v>
                </c:pt>
                <c:pt idx="16">
                  <c:v>90000</c:v>
                </c:pt>
                <c:pt idx="17">
                  <c:v>100000</c:v>
                </c:pt>
                <c:pt idx="18">
                  <c:v>110000</c:v>
                </c:pt>
                <c:pt idx="19">
                  <c:v>120000</c:v>
                </c:pt>
                <c:pt idx="20">
                  <c:v>130000</c:v>
                </c:pt>
                <c:pt idx="21">
                  <c:v>140000</c:v>
                </c:pt>
                <c:pt idx="22">
                  <c:v>150000</c:v>
                </c:pt>
                <c:pt idx="23">
                  <c:v>160000</c:v>
                </c:pt>
                <c:pt idx="24">
                  <c:v>170000</c:v>
                </c:pt>
                <c:pt idx="25">
                  <c:v>180000</c:v>
                </c:pt>
                <c:pt idx="26">
                  <c:v>190000</c:v>
                </c:pt>
                <c:pt idx="27">
                  <c:v>200000</c:v>
                </c:pt>
              </c:numCache>
            </c:numRef>
          </c:xVal>
          <c:yVal>
            <c:numRef>
              <c:f>CAPEX!$J$133:$J$160</c:f>
              <c:numCache>
                <c:formatCode>0</c:formatCode>
                <c:ptCount val="28"/>
                <c:pt idx="0">
                  <c:v>356.681604860775</c:v>
                </c:pt>
                <c:pt idx="1">
                  <c:v>315.71854002663508</c:v>
                </c:pt>
                <c:pt idx="2">
                  <c:v>291.7612750518694</c:v>
                </c:pt>
                <c:pt idx="3">
                  <c:v>275.63931481460065</c:v>
                </c:pt>
                <c:pt idx="4">
                  <c:v>263.86981107503567</c:v>
                </c:pt>
                <c:pt idx="5">
                  <c:v>254.8062503956719</c:v>
                </c:pt>
                <c:pt idx="6">
                  <c:v>247.55747712901137</c:v>
                </c:pt>
                <c:pt idx="7">
                  <c:v>241.59424716377868</c:v>
                </c:pt>
                <c:pt idx="8">
                  <c:v>236.58014730726993</c:v>
                </c:pt>
                <c:pt idx="9">
                  <c:v>209.98503368706366</c:v>
                </c:pt>
                <c:pt idx="10">
                  <c:v>198.55908043511278</c:v>
                </c:pt>
                <c:pt idx="11">
                  <c:v>191.87660707149539</c:v>
                </c:pt>
                <c:pt idx="12">
                  <c:v>187.37965927848461</c:v>
                </c:pt>
                <c:pt idx="13">
                  <c:v>184.09675551941689</c:v>
                </c:pt>
                <c:pt idx="14">
                  <c:v>181.56862875356219</c:v>
                </c:pt>
                <c:pt idx="15">
                  <c:v>179.54670620420683</c:v>
                </c:pt>
                <c:pt idx="16">
                  <c:v>177.88336418892393</c:v>
                </c:pt>
                <c:pt idx="17">
                  <c:v>176.48476594455295</c:v>
                </c:pt>
                <c:pt idx="18">
                  <c:v>175.28807839330244</c:v>
                </c:pt>
                <c:pt idx="19">
                  <c:v>174.24945976553059</c:v>
                </c:pt>
                <c:pt idx="20">
                  <c:v>173.33727946712028</c:v>
                </c:pt>
                <c:pt idx="21">
                  <c:v>172.5280759554027</c:v>
                </c:pt>
                <c:pt idx="22">
                  <c:v>171.80403610462054</c:v>
                </c:pt>
                <c:pt idx="23">
                  <c:v>171.15136305128686</c:v>
                </c:pt>
                <c:pt idx="24">
                  <c:v>170.55918497074748</c:v>
                </c:pt>
                <c:pt idx="25">
                  <c:v>170.01880512164317</c:v>
                </c:pt>
                <c:pt idx="26">
                  <c:v>169.5231739165514</c:v>
                </c:pt>
                <c:pt idx="27">
                  <c:v>169.06650937158432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87D-4EE1-8477-3B15FD37C5BA}"/>
            </c:ext>
          </c:extLst>
        </c:ser>
        <c:ser>
          <c:idx val="2"/>
          <c:order val="3"/>
          <c:tx>
            <c:strRef>
              <c:f>CAPEX!$K$129</c:f>
              <c:strCache>
                <c:ptCount val="1"/>
                <c:pt idx="0">
                  <c:v>TTES (MYDATA)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CAPEX!$B$141:$B$160</c:f>
              <c:numCache>
                <c:formatCode>General</c:formatCode>
                <c:ptCount val="2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140000</c:v>
                </c:pt>
                <c:pt idx="14">
                  <c:v>150000</c:v>
                </c:pt>
                <c:pt idx="15">
                  <c:v>160000</c:v>
                </c:pt>
                <c:pt idx="16">
                  <c:v>170000</c:v>
                </c:pt>
                <c:pt idx="17">
                  <c:v>180000</c:v>
                </c:pt>
                <c:pt idx="18">
                  <c:v>190000</c:v>
                </c:pt>
                <c:pt idx="19">
                  <c:v>200000</c:v>
                </c:pt>
              </c:numCache>
            </c:numRef>
          </c:xVal>
          <c:yVal>
            <c:numRef>
              <c:f>CAPEX!$K$141:$K$160</c:f>
              <c:numCache>
                <c:formatCode>0</c:formatCode>
                <c:ptCount val="20"/>
                <c:pt idx="0">
                  <c:v>201.09768631172622</c:v>
                </c:pt>
                <c:pt idx="1">
                  <c:v>163.79558641682274</c:v>
                </c:pt>
                <c:pt idx="2">
                  <c:v>145.27108578383675</c:v>
                </c:pt>
                <c:pt idx="3">
                  <c:v>133.41274393402321</c:v>
                </c:pt>
                <c:pt idx="4">
                  <c:v>124.88548151083073</c:v>
                </c:pt>
                <c:pt idx="5">
                  <c:v>118.32439806635706</c:v>
                </c:pt>
                <c:pt idx="6">
                  <c:v>113.04674293003168</c:v>
                </c:pt>
                <c:pt idx="7">
                  <c:v>108.66568894421187</c:v>
                </c:pt>
                <c:pt idx="8">
                  <c:v>104.94247224755009</c:v>
                </c:pt>
                <c:pt idx="9">
                  <c:v>101.72016920823715</c:v>
                </c:pt>
                <c:pt idx="10">
                  <c:v>98.89056066034621</c:v>
                </c:pt>
                <c:pt idx="11">
                  <c:v>96.376117120778616</c:v>
                </c:pt>
                <c:pt idx="12">
                  <c:v>94.119549908099174</c:v>
                </c:pt>
                <c:pt idx="13">
                  <c:v>92.077427096965224</c:v>
                </c:pt>
                <c:pt idx="14">
                  <c:v>90.216102584059215</c:v>
                </c:pt>
                <c:pt idx="15">
                  <c:v>88.509025491296029</c:v>
                </c:pt>
                <c:pt idx="16">
                  <c:v>86.934906869110364</c:v>
                </c:pt>
                <c:pt idx="17">
                  <c:v>85.476437332915708</c:v>
                </c:pt>
                <c:pt idx="18">
                  <c:v>84.119369344771229</c:v>
                </c:pt>
                <c:pt idx="19">
                  <c:v>82.851847136891209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87D-4EE1-8477-3B15FD37C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728992"/>
        <c:axId val="297729952"/>
      </c:scatterChart>
      <c:valAx>
        <c:axId val="297728992"/>
        <c:scaling>
          <c:orientation val="minMax"/>
          <c:max val="2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/>
                  <a:t>storage volume</a:t>
                </a:r>
                <a:r>
                  <a:rPr lang="de-CH" sz="1400" baseline="0"/>
                  <a:t> [m</a:t>
                </a:r>
                <a:r>
                  <a:rPr lang="de-CH" sz="1400" baseline="30000"/>
                  <a:t>3</a:t>
                </a:r>
                <a:r>
                  <a:rPr lang="de-CH" sz="1400" baseline="0"/>
                  <a:t>]</a:t>
                </a:r>
                <a:endParaRPr lang="de-CH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97729952"/>
        <c:crosses val="autoZero"/>
        <c:crossBetween val="midCat"/>
        <c:dispUnits>
          <c:builtInUnit val="thousands"/>
        </c:dispUnits>
      </c:valAx>
      <c:valAx>
        <c:axId val="29772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400" baseline="0"/>
                  <a:t>CAPEX [CHF/m</a:t>
                </a:r>
                <a:r>
                  <a:rPr lang="de-CH" sz="1400" baseline="30000"/>
                  <a:t>3</a:t>
                </a:r>
                <a:r>
                  <a:rPr lang="de-CH" sz="1400" baseline="0"/>
                  <a:t>]</a:t>
                </a:r>
                <a:endParaRPr lang="de-CH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97728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58583</xdr:colOff>
      <xdr:row>132</xdr:row>
      <xdr:rowOff>146453</xdr:rowOff>
    </xdr:from>
    <xdr:to>
      <xdr:col>18</xdr:col>
      <xdr:colOff>1511421</xdr:colOff>
      <xdr:row>146</xdr:row>
      <xdr:rowOff>160513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8A218C8-FD1D-90C7-B87A-DA23E11ADE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173442</xdr:colOff>
      <xdr:row>149</xdr:row>
      <xdr:rowOff>60197</xdr:rowOff>
    </xdr:from>
    <xdr:to>
      <xdr:col>22</xdr:col>
      <xdr:colOff>1128713</xdr:colOff>
      <xdr:row>163</xdr:row>
      <xdr:rowOff>61364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E2FFF95D-451A-4BD6-88E1-A053853B5F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143997</xdr:colOff>
      <xdr:row>170</xdr:row>
      <xdr:rowOff>105134</xdr:rowOff>
    </xdr:from>
    <xdr:to>
      <xdr:col>18</xdr:col>
      <xdr:colOff>64525</xdr:colOff>
      <xdr:row>185</xdr:row>
      <xdr:rowOff>181549</xdr:rowOff>
    </xdr:to>
    <xdr:graphicFrame macro="">
      <xdr:nvGraphicFramePr>
        <xdr:cNvPr id="17" name="Diagramm 16">
          <a:extLst>
            <a:ext uri="{FF2B5EF4-FFF2-40B4-BE49-F238E27FC236}">
              <a16:creationId xmlns:a16="http://schemas.microsoft.com/office/drawing/2014/main" id="{BD1B6513-4197-45D9-BC78-043E902002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129621</xdr:colOff>
      <xdr:row>187</xdr:row>
      <xdr:rowOff>94767</xdr:rowOff>
    </xdr:from>
    <xdr:to>
      <xdr:col>18</xdr:col>
      <xdr:colOff>50149</xdr:colOff>
      <xdr:row>202</xdr:row>
      <xdr:rowOff>171182</xdr:rowOff>
    </xdr:to>
    <xdr:graphicFrame macro="">
      <xdr:nvGraphicFramePr>
        <xdr:cNvPr id="18" name="Diagramm 17">
          <a:extLst>
            <a:ext uri="{FF2B5EF4-FFF2-40B4-BE49-F238E27FC236}">
              <a16:creationId xmlns:a16="http://schemas.microsoft.com/office/drawing/2014/main" id="{2D9AABA5-9146-49F2-A683-ADC7E7A354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44</xdr:col>
      <xdr:colOff>394084</xdr:colOff>
      <xdr:row>81</xdr:row>
      <xdr:rowOff>181713</xdr:rowOff>
    </xdr:from>
    <xdr:to>
      <xdr:col>48</xdr:col>
      <xdr:colOff>648730</xdr:colOff>
      <xdr:row>93</xdr:row>
      <xdr:rowOff>41189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355440EA-C2F4-47A4-A858-A71450558F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44</xdr:col>
      <xdr:colOff>386477</xdr:colOff>
      <xdr:row>70</xdr:row>
      <xdr:rowOff>94210</xdr:rowOff>
    </xdr:from>
    <xdr:to>
      <xdr:col>48</xdr:col>
      <xdr:colOff>669325</xdr:colOff>
      <xdr:row>81</xdr:row>
      <xdr:rowOff>133865</xdr:rowOff>
    </xdr:to>
    <xdr:graphicFrame macro="">
      <xdr:nvGraphicFramePr>
        <xdr:cNvPr id="12" name="Diagramm 11">
          <a:extLst>
            <a:ext uri="{FF2B5EF4-FFF2-40B4-BE49-F238E27FC236}">
              <a16:creationId xmlns:a16="http://schemas.microsoft.com/office/drawing/2014/main" id="{1187B524-1C52-419B-85E1-11FBADA9F6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1379897</xdr:colOff>
      <xdr:row>66</xdr:row>
      <xdr:rowOff>5806</xdr:rowOff>
    </xdr:from>
    <xdr:to>
      <xdr:col>19</xdr:col>
      <xdr:colOff>1154633</xdr:colOff>
      <xdr:row>81</xdr:row>
      <xdr:rowOff>65069</xdr:rowOff>
    </xdr:to>
    <xdr:grpSp>
      <xdr:nvGrpSpPr>
        <xdr:cNvPr id="30" name="Gruppieren 29">
          <a:extLst>
            <a:ext uri="{FF2B5EF4-FFF2-40B4-BE49-F238E27FC236}">
              <a16:creationId xmlns:a16="http://schemas.microsoft.com/office/drawing/2014/main" id="{006CBE78-E5C7-058A-F623-034158F29D3F}"/>
            </a:ext>
          </a:extLst>
        </xdr:cNvPr>
        <xdr:cNvGrpSpPr/>
      </xdr:nvGrpSpPr>
      <xdr:grpSpPr>
        <a:xfrm>
          <a:off x="19751024" y="12364061"/>
          <a:ext cx="4319027" cy="2788608"/>
          <a:chOff x="19788766" y="12607710"/>
          <a:chExt cx="4325724" cy="2839502"/>
        </a:xfrm>
      </xdr:grpSpPr>
      <xdr:graphicFrame macro="">
        <xdr:nvGraphicFramePr>
          <xdr:cNvPr id="5" name="Diagramm 4">
            <a:extLst>
              <a:ext uri="{FF2B5EF4-FFF2-40B4-BE49-F238E27FC236}">
                <a16:creationId xmlns:a16="http://schemas.microsoft.com/office/drawing/2014/main" id="{A8936850-8BB2-4BF8-B675-D9DE1813C6BC}"/>
              </a:ext>
            </a:extLst>
          </xdr:cNvPr>
          <xdr:cNvGraphicFramePr>
            <a:graphicFrameLocks/>
          </xdr:cNvGraphicFramePr>
        </xdr:nvGraphicFramePr>
        <xdr:xfrm>
          <a:off x="19788766" y="12607710"/>
          <a:ext cx="4325724" cy="283950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22" name="Rechteck: abgerundete Ecken 21">
            <a:extLst>
              <a:ext uri="{FF2B5EF4-FFF2-40B4-BE49-F238E27FC236}">
                <a16:creationId xmlns:a16="http://schemas.microsoft.com/office/drawing/2014/main" id="{849C204E-6839-46AD-B6CD-E6C7C2EBF1D8}"/>
              </a:ext>
            </a:extLst>
          </xdr:cNvPr>
          <xdr:cNvSpPr/>
        </xdr:nvSpPr>
        <xdr:spPr>
          <a:xfrm>
            <a:off x="22688761" y="13150682"/>
            <a:ext cx="1001131" cy="291590"/>
          </a:xfrm>
          <a:prstGeom prst="roundRect">
            <a:avLst/>
          </a:prstGeom>
          <a:solidFill>
            <a:schemeClr val="bg1"/>
          </a:solidFill>
          <a:ln w="19050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lang="de-CH" sz="1400">
                <a:solidFill>
                  <a:schemeClr val="tx1">
                    <a:lumMod val="65000"/>
                    <a:lumOff val="35000"/>
                  </a:schemeClr>
                </a:solidFill>
              </a:rPr>
              <a:t>R</a:t>
            </a:r>
            <a:r>
              <a:rPr lang="de-CH" sz="1400" baseline="30000">
                <a:solidFill>
                  <a:schemeClr val="tx1">
                    <a:lumMod val="65000"/>
                    <a:lumOff val="35000"/>
                  </a:schemeClr>
                </a:solidFill>
              </a:rPr>
              <a:t>2</a:t>
            </a:r>
            <a:r>
              <a:rPr lang="de-CH" sz="1200">
                <a:solidFill>
                  <a:schemeClr val="tx1">
                    <a:lumMod val="65000"/>
                    <a:lumOff val="35000"/>
                  </a:schemeClr>
                </a:solidFill>
              </a:rPr>
              <a:t> =</a:t>
            </a:r>
          </a:p>
        </xdr:txBody>
      </xdr:sp>
      <xdr:sp macro="" textlink="'R2 CAPEX'!K3">
        <xdr:nvSpPr>
          <xdr:cNvPr id="26" name="Rechteck 25">
            <a:extLst>
              <a:ext uri="{FF2B5EF4-FFF2-40B4-BE49-F238E27FC236}">
                <a16:creationId xmlns:a16="http://schemas.microsoft.com/office/drawing/2014/main" id="{028B51B3-6DC0-4CD7-94EC-17E0693EB1EB}"/>
              </a:ext>
            </a:extLst>
          </xdr:cNvPr>
          <xdr:cNvSpPr/>
        </xdr:nvSpPr>
        <xdr:spPr>
          <a:xfrm>
            <a:off x="23026601" y="13151060"/>
            <a:ext cx="662553" cy="2916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fld id="{8D66D174-7329-4C88-B8F0-227852E0A33A}" type="TxLink">
              <a:rPr lang="en-US" sz="14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rPr>
              <a:pPr algn="l"/>
              <a:t>0.596</a:t>
            </a:fld>
            <a:endParaRPr lang="de-CH" sz="14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16</xdr:col>
      <xdr:colOff>1370498</xdr:colOff>
      <xdr:row>83</xdr:row>
      <xdr:rowOff>10569</xdr:rowOff>
    </xdr:from>
    <xdr:to>
      <xdr:col>19</xdr:col>
      <xdr:colOff>1145234</xdr:colOff>
      <xdr:row>98</xdr:row>
      <xdr:rowOff>69832</xdr:rowOff>
    </xdr:to>
    <xdr:grpSp>
      <xdr:nvGrpSpPr>
        <xdr:cNvPr id="34" name="Gruppieren 33">
          <a:extLst>
            <a:ext uri="{FF2B5EF4-FFF2-40B4-BE49-F238E27FC236}">
              <a16:creationId xmlns:a16="http://schemas.microsoft.com/office/drawing/2014/main" id="{28998FA4-9C8F-EB68-BBE4-FCFC9DE2C4E1}"/>
            </a:ext>
          </a:extLst>
        </xdr:cNvPr>
        <xdr:cNvGrpSpPr/>
      </xdr:nvGrpSpPr>
      <xdr:grpSpPr>
        <a:xfrm>
          <a:off x="19741625" y="15458387"/>
          <a:ext cx="4319027" cy="2788609"/>
          <a:chOff x="19764514" y="15886669"/>
          <a:chExt cx="4326863" cy="2862532"/>
        </a:xfrm>
      </xdr:grpSpPr>
      <xdr:graphicFrame macro="">
        <xdr:nvGraphicFramePr>
          <xdr:cNvPr id="6" name="Diagramm 5">
            <a:extLst>
              <a:ext uri="{FF2B5EF4-FFF2-40B4-BE49-F238E27FC236}">
                <a16:creationId xmlns:a16="http://schemas.microsoft.com/office/drawing/2014/main" id="{6C57A02F-AE3A-4B3D-8F4C-58C2F4FC4D19}"/>
              </a:ext>
            </a:extLst>
          </xdr:cNvPr>
          <xdr:cNvGraphicFramePr>
            <a:graphicFrameLocks/>
          </xdr:cNvGraphicFramePr>
        </xdr:nvGraphicFramePr>
        <xdr:xfrm>
          <a:off x="19764514" y="15886669"/>
          <a:ext cx="4326863" cy="286253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32" name="Rechteck: abgerundete Ecken 31">
            <a:extLst>
              <a:ext uri="{FF2B5EF4-FFF2-40B4-BE49-F238E27FC236}">
                <a16:creationId xmlns:a16="http://schemas.microsoft.com/office/drawing/2014/main" id="{5CC19661-8F4A-414E-A858-C0649A28C677}"/>
              </a:ext>
            </a:extLst>
          </xdr:cNvPr>
          <xdr:cNvSpPr/>
        </xdr:nvSpPr>
        <xdr:spPr>
          <a:xfrm>
            <a:off x="22635679" y="16405536"/>
            <a:ext cx="1001396" cy="293922"/>
          </a:xfrm>
          <a:prstGeom prst="roundRect">
            <a:avLst/>
          </a:prstGeom>
          <a:solidFill>
            <a:schemeClr val="bg1"/>
          </a:solidFill>
          <a:ln w="19050">
            <a:solidFill>
              <a:schemeClr val="accent5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lang="de-CH" sz="1400">
                <a:solidFill>
                  <a:schemeClr val="tx1">
                    <a:lumMod val="65000"/>
                    <a:lumOff val="35000"/>
                  </a:schemeClr>
                </a:solidFill>
              </a:rPr>
              <a:t>R</a:t>
            </a:r>
            <a:r>
              <a:rPr lang="de-CH" sz="1400" baseline="30000">
                <a:solidFill>
                  <a:schemeClr val="tx1">
                    <a:lumMod val="65000"/>
                    <a:lumOff val="35000"/>
                  </a:schemeClr>
                </a:solidFill>
              </a:rPr>
              <a:t>2</a:t>
            </a:r>
            <a:r>
              <a:rPr lang="de-CH" sz="1200">
                <a:solidFill>
                  <a:schemeClr val="tx1">
                    <a:lumMod val="65000"/>
                    <a:lumOff val="35000"/>
                  </a:schemeClr>
                </a:solidFill>
              </a:rPr>
              <a:t> =</a:t>
            </a:r>
          </a:p>
        </xdr:txBody>
      </xdr:sp>
      <xdr:sp macro="" textlink="'R2 CAPEX'!O3">
        <xdr:nvSpPr>
          <xdr:cNvPr id="33" name="Rechteck 32">
            <a:extLst>
              <a:ext uri="{FF2B5EF4-FFF2-40B4-BE49-F238E27FC236}">
                <a16:creationId xmlns:a16="http://schemas.microsoft.com/office/drawing/2014/main" id="{049AA7B1-C113-4FA4-87FA-6776574D4720}"/>
              </a:ext>
            </a:extLst>
          </xdr:cNvPr>
          <xdr:cNvSpPr/>
        </xdr:nvSpPr>
        <xdr:spPr>
          <a:xfrm>
            <a:off x="22973609" y="16405917"/>
            <a:ext cx="662728" cy="29393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fld id="{E75F3A8B-5ED9-48EE-A6D4-21E5B2813164}" type="TxLink">
              <a:rPr lang="en-US" sz="14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rPr>
              <a:pPr algn="l"/>
              <a:t>0.475</a:t>
            </a:fld>
            <a:endParaRPr lang="de-CH" sz="18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13</xdr:col>
      <xdr:colOff>15264</xdr:colOff>
      <xdr:row>22</xdr:row>
      <xdr:rowOff>7886</xdr:rowOff>
    </xdr:from>
    <xdr:to>
      <xdr:col>16</xdr:col>
      <xdr:colOff>1276681</xdr:colOff>
      <xdr:row>38</xdr:row>
      <xdr:rowOff>9219</xdr:rowOff>
    </xdr:to>
    <xdr:grpSp>
      <xdr:nvGrpSpPr>
        <xdr:cNvPr id="39" name="Gruppieren 38">
          <a:extLst>
            <a:ext uri="{FF2B5EF4-FFF2-40B4-BE49-F238E27FC236}">
              <a16:creationId xmlns:a16="http://schemas.microsoft.com/office/drawing/2014/main" id="{242D92D9-D150-3141-8C69-635846AB6D4D}"/>
            </a:ext>
          </a:extLst>
        </xdr:cNvPr>
        <xdr:cNvGrpSpPr/>
      </xdr:nvGrpSpPr>
      <xdr:grpSpPr>
        <a:xfrm>
          <a:off x="15338391" y="4399777"/>
          <a:ext cx="4309417" cy="2883078"/>
          <a:chOff x="15348028" y="4513626"/>
          <a:chExt cx="4322677" cy="2968300"/>
        </a:xfrm>
      </xdr:grpSpPr>
      <xdr:graphicFrame macro="">
        <xdr:nvGraphicFramePr>
          <xdr:cNvPr id="4" name="Diagramm 3">
            <a:extLst>
              <a:ext uri="{FF2B5EF4-FFF2-40B4-BE49-F238E27FC236}">
                <a16:creationId xmlns:a16="http://schemas.microsoft.com/office/drawing/2014/main" id="{2789B944-484A-4CFB-A213-E4197381305A}"/>
              </a:ext>
            </a:extLst>
          </xdr:cNvPr>
          <xdr:cNvGraphicFramePr>
            <a:graphicFrameLocks/>
          </xdr:cNvGraphicFramePr>
        </xdr:nvGraphicFramePr>
        <xdr:xfrm>
          <a:off x="15348028" y="4513626"/>
          <a:ext cx="4322677" cy="29683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">
        <xdr:nvSpPr>
          <xdr:cNvPr id="35" name="Rechteck: abgerundete Ecken 34">
            <a:extLst>
              <a:ext uri="{FF2B5EF4-FFF2-40B4-BE49-F238E27FC236}">
                <a16:creationId xmlns:a16="http://schemas.microsoft.com/office/drawing/2014/main" id="{8F4F75AA-5A70-464B-8B49-76FD54C060FC}"/>
              </a:ext>
            </a:extLst>
          </xdr:cNvPr>
          <xdr:cNvSpPr/>
        </xdr:nvSpPr>
        <xdr:spPr>
          <a:xfrm>
            <a:off x="18299151" y="5068308"/>
            <a:ext cx="1001396" cy="293922"/>
          </a:xfrm>
          <a:prstGeom prst="roundRect">
            <a:avLst/>
          </a:prstGeom>
          <a:solidFill>
            <a:schemeClr val="bg1"/>
          </a:solidFill>
          <a:ln w="19050">
            <a:solidFill>
              <a:srgbClr val="B381D9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lang="de-CH" sz="1400">
                <a:solidFill>
                  <a:schemeClr val="tx1">
                    <a:lumMod val="65000"/>
                    <a:lumOff val="35000"/>
                  </a:schemeClr>
                </a:solidFill>
              </a:rPr>
              <a:t>R</a:t>
            </a:r>
            <a:r>
              <a:rPr lang="de-CH" sz="1400" baseline="30000">
                <a:solidFill>
                  <a:schemeClr val="tx1">
                    <a:lumMod val="65000"/>
                    <a:lumOff val="35000"/>
                  </a:schemeClr>
                </a:solidFill>
              </a:rPr>
              <a:t>2</a:t>
            </a:r>
            <a:r>
              <a:rPr lang="de-CH" sz="1200">
                <a:solidFill>
                  <a:schemeClr val="tx1">
                    <a:lumMod val="65000"/>
                    <a:lumOff val="35000"/>
                  </a:schemeClr>
                </a:solidFill>
              </a:rPr>
              <a:t> =</a:t>
            </a:r>
          </a:p>
        </xdr:txBody>
      </xdr:sp>
      <xdr:sp macro="" textlink="'R2 CAPEX'!G3">
        <xdr:nvSpPr>
          <xdr:cNvPr id="36" name="Rechteck 35">
            <a:extLst>
              <a:ext uri="{FF2B5EF4-FFF2-40B4-BE49-F238E27FC236}">
                <a16:creationId xmlns:a16="http://schemas.microsoft.com/office/drawing/2014/main" id="{23806BC4-BB0C-4574-AAB0-EF77A7AB489C}"/>
              </a:ext>
            </a:extLst>
          </xdr:cNvPr>
          <xdr:cNvSpPr/>
        </xdr:nvSpPr>
        <xdr:spPr>
          <a:xfrm>
            <a:off x="18637081" y="5068689"/>
            <a:ext cx="662728" cy="29393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fld id="{2D768C8E-A24C-49C1-91AE-914C56BA8757}" type="TxLink">
              <a:rPr lang="en-US" sz="14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rPr>
              <a:pPr algn="l"/>
              <a:t>0.807</a:t>
            </a:fld>
            <a:endParaRPr lang="de-CH" sz="24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12</xdr:col>
      <xdr:colOff>1812406</xdr:colOff>
      <xdr:row>2</xdr:row>
      <xdr:rowOff>19268</xdr:rowOff>
    </xdr:from>
    <xdr:to>
      <xdr:col>16</xdr:col>
      <xdr:colOff>1253490</xdr:colOff>
      <xdr:row>17</xdr:row>
      <xdr:rowOff>179351</xdr:rowOff>
    </xdr:to>
    <xdr:grpSp>
      <xdr:nvGrpSpPr>
        <xdr:cNvPr id="40" name="Gruppieren 39">
          <a:extLst>
            <a:ext uri="{FF2B5EF4-FFF2-40B4-BE49-F238E27FC236}">
              <a16:creationId xmlns:a16="http://schemas.microsoft.com/office/drawing/2014/main" id="{267B12D3-7BDC-437E-53CE-781315DFA7FF}"/>
            </a:ext>
          </a:extLst>
        </xdr:cNvPr>
        <xdr:cNvGrpSpPr/>
      </xdr:nvGrpSpPr>
      <xdr:grpSpPr>
        <a:xfrm>
          <a:off x="15320588" y="781268"/>
          <a:ext cx="4304029" cy="2889428"/>
          <a:chOff x="15322999" y="794520"/>
          <a:chExt cx="4324540" cy="2966073"/>
        </a:xfrm>
      </xdr:grpSpPr>
      <xdr:graphicFrame macro="">
        <xdr:nvGraphicFramePr>
          <xdr:cNvPr id="3" name="Diagramm 2">
            <a:extLst>
              <a:ext uri="{FF2B5EF4-FFF2-40B4-BE49-F238E27FC236}">
                <a16:creationId xmlns:a16="http://schemas.microsoft.com/office/drawing/2014/main" id="{AE5FC587-C29E-4426-99DF-44A5A9D2936C}"/>
              </a:ext>
            </a:extLst>
          </xdr:cNvPr>
          <xdr:cNvGraphicFramePr>
            <a:graphicFrameLocks/>
          </xdr:cNvGraphicFramePr>
        </xdr:nvGraphicFramePr>
        <xdr:xfrm>
          <a:off x="15322999" y="794520"/>
          <a:ext cx="4324540" cy="296607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sp macro="" textlink="">
        <xdr:nvSpPr>
          <xdr:cNvPr id="37" name="Rechteck: abgerundete Ecken 36">
            <a:extLst>
              <a:ext uri="{FF2B5EF4-FFF2-40B4-BE49-F238E27FC236}">
                <a16:creationId xmlns:a16="http://schemas.microsoft.com/office/drawing/2014/main" id="{493E7A18-3715-4A87-A40A-6C78855973CB}"/>
              </a:ext>
            </a:extLst>
          </xdr:cNvPr>
          <xdr:cNvSpPr/>
        </xdr:nvSpPr>
        <xdr:spPr>
          <a:xfrm>
            <a:off x="18232385" y="1351069"/>
            <a:ext cx="1001396" cy="293922"/>
          </a:xfrm>
          <a:prstGeom prst="roundRect">
            <a:avLst/>
          </a:prstGeom>
          <a:solidFill>
            <a:schemeClr val="bg1"/>
          </a:solidFill>
          <a:ln w="19050">
            <a:solidFill>
              <a:srgbClr val="61953D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lang="de-CH" sz="1400">
                <a:solidFill>
                  <a:schemeClr val="tx1">
                    <a:lumMod val="65000"/>
                    <a:lumOff val="35000"/>
                  </a:schemeClr>
                </a:solidFill>
              </a:rPr>
              <a:t>R</a:t>
            </a:r>
            <a:r>
              <a:rPr lang="de-CH" sz="1400" baseline="30000">
                <a:solidFill>
                  <a:schemeClr val="tx1">
                    <a:lumMod val="65000"/>
                    <a:lumOff val="35000"/>
                  </a:schemeClr>
                </a:solidFill>
              </a:rPr>
              <a:t>2</a:t>
            </a:r>
            <a:r>
              <a:rPr lang="de-CH" sz="1200">
                <a:solidFill>
                  <a:schemeClr val="tx1">
                    <a:lumMod val="65000"/>
                    <a:lumOff val="35000"/>
                  </a:schemeClr>
                </a:solidFill>
              </a:rPr>
              <a:t> =</a:t>
            </a:r>
          </a:p>
        </xdr:txBody>
      </xdr:sp>
      <xdr:sp macro="" textlink="'R2 CAPEX'!C3">
        <xdr:nvSpPr>
          <xdr:cNvPr id="38" name="Rechteck 37">
            <a:extLst>
              <a:ext uri="{FF2B5EF4-FFF2-40B4-BE49-F238E27FC236}">
                <a16:creationId xmlns:a16="http://schemas.microsoft.com/office/drawing/2014/main" id="{88789C9A-BA70-402B-A726-A28820D4A47C}"/>
              </a:ext>
            </a:extLst>
          </xdr:cNvPr>
          <xdr:cNvSpPr/>
        </xdr:nvSpPr>
        <xdr:spPr>
          <a:xfrm>
            <a:off x="18570315" y="1351450"/>
            <a:ext cx="662728" cy="29393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fld id="{6C85A771-A19F-4CCD-9782-418245B906CA}" type="TxLink">
              <a:rPr lang="en-US" sz="14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rPr>
              <a:pPr algn="l"/>
              <a:t>0.643</a:t>
            </a:fld>
            <a:endParaRPr lang="de-CH" sz="24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37</xdr:col>
      <xdr:colOff>668333</xdr:colOff>
      <xdr:row>66</xdr:row>
      <xdr:rowOff>65350</xdr:rowOff>
    </xdr:from>
    <xdr:to>
      <xdr:col>43</xdr:col>
      <xdr:colOff>255912</xdr:colOff>
      <xdr:row>81</xdr:row>
      <xdr:rowOff>124613</xdr:rowOff>
    </xdr:to>
    <xdr:grpSp>
      <xdr:nvGrpSpPr>
        <xdr:cNvPr id="21" name="Gruppieren 20">
          <a:extLst>
            <a:ext uri="{FF2B5EF4-FFF2-40B4-BE49-F238E27FC236}">
              <a16:creationId xmlns:a16="http://schemas.microsoft.com/office/drawing/2014/main" id="{8E45CDD3-FBDA-38DC-93DC-9F736C963FAA}"/>
            </a:ext>
          </a:extLst>
        </xdr:cNvPr>
        <xdr:cNvGrpSpPr/>
      </xdr:nvGrpSpPr>
      <xdr:grpSpPr>
        <a:xfrm>
          <a:off x="40791097" y="12423605"/>
          <a:ext cx="4325833" cy="2788608"/>
          <a:chOff x="40773207" y="12730829"/>
          <a:chExt cx="4337121" cy="2856097"/>
        </a:xfrm>
      </xdr:grpSpPr>
      <xdr:graphicFrame macro="">
        <xdr:nvGraphicFramePr>
          <xdr:cNvPr id="15" name="Diagramm 14">
            <a:extLst>
              <a:ext uri="{FF2B5EF4-FFF2-40B4-BE49-F238E27FC236}">
                <a16:creationId xmlns:a16="http://schemas.microsoft.com/office/drawing/2014/main" id="{C147D0C8-6440-7834-D6EF-B650F9E059E7}"/>
              </a:ext>
            </a:extLst>
          </xdr:cNvPr>
          <xdr:cNvGraphicFramePr/>
        </xdr:nvGraphicFramePr>
        <xdr:xfrm>
          <a:off x="40773207" y="12730829"/>
          <a:ext cx="4337121" cy="285609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sp macro="" textlink="">
        <xdr:nvSpPr>
          <xdr:cNvPr id="19" name="Rechteck: abgerundete Ecken 18">
            <a:extLst>
              <a:ext uri="{FF2B5EF4-FFF2-40B4-BE49-F238E27FC236}">
                <a16:creationId xmlns:a16="http://schemas.microsoft.com/office/drawing/2014/main" id="{B9EDA291-BF9E-4622-8AF7-60A5C96D71D9}"/>
              </a:ext>
            </a:extLst>
          </xdr:cNvPr>
          <xdr:cNvSpPr/>
        </xdr:nvSpPr>
        <xdr:spPr>
          <a:xfrm>
            <a:off x="43946807" y="12893557"/>
            <a:ext cx="989043" cy="291289"/>
          </a:xfrm>
          <a:prstGeom prst="roundRect">
            <a:avLst/>
          </a:prstGeom>
          <a:solidFill>
            <a:schemeClr val="bg1"/>
          </a:solidFill>
          <a:ln w="19050">
            <a:solidFill>
              <a:schemeClr val="accent2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lang="de-CH" sz="1400">
                <a:solidFill>
                  <a:schemeClr val="tx1">
                    <a:lumMod val="65000"/>
                    <a:lumOff val="35000"/>
                  </a:schemeClr>
                </a:solidFill>
              </a:rPr>
              <a:t>R</a:t>
            </a:r>
            <a:r>
              <a:rPr lang="de-CH" sz="1400" baseline="30000">
                <a:solidFill>
                  <a:schemeClr val="tx1">
                    <a:lumMod val="65000"/>
                    <a:lumOff val="35000"/>
                  </a:schemeClr>
                </a:solidFill>
              </a:rPr>
              <a:t>2</a:t>
            </a:r>
            <a:r>
              <a:rPr lang="de-CH" sz="1200">
                <a:solidFill>
                  <a:schemeClr val="tx1">
                    <a:lumMod val="65000"/>
                    <a:lumOff val="35000"/>
                  </a:schemeClr>
                </a:solidFill>
              </a:rPr>
              <a:t> =</a:t>
            </a:r>
          </a:p>
        </xdr:txBody>
      </xdr:sp>
      <xdr:sp macro="" textlink="'R2 CAPEX'!K27">
        <xdr:nvSpPr>
          <xdr:cNvPr id="20" name="Rechteck 19">
            <a:extLst>
              <a:ext uri="{FF2B5EF4-FFF2-40B4-BE49-F238E27FC236}">
                <a16:creationId xmlns:a16="http://schemas.microsoft.com/office/drawing/2014/main" id="{8029824D-989A-4076-B165-F1A173B503AC}"/>
              </a:ext>
            </a:extLst>
          </xdr:cNvPr>
          <xdr:cNvSpPr/>
        </xdr:nvSpPr>
        <xdr:spPr>
          <a:xfrm>
            <a:off x="44275049" y="12896827"/>
            <a:ext cx="660332" cy="28978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fld id="{F55C9D94-F7F8-46A8-B222-ECB0F3C9F598}" type="TxLink">
              <a:rPr lang="en-US" sz="14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rPr>
              <a:pPr algn="l"/>
              <a:t>0.324</a:t>
            </a:fld>
            <a:endParaRPr lang="de-CH" sz="14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37</xdr:col>
      <xdr:colOff>725205</xdr:colOff>
      <xdr:row>83</xdr:row>
      <xdr:rowOff>48</xdr:rowOff>
    </xdr:from>
    <xdr:to>
      <xdr:col>43</xdr:col>
      <xdr:colOff>312784</xdr:colOff>
      <xdr:row>98</xdr:row>
      <xdr:rowOff>59311</xdr:rowOff>
    </xdr:to>
    <xdr:grpSp>
      <xdr:nvGrpSpPr>
        <xdr:cNvPr id="24" name="Gruppieren 23">
          <a:extLst>
            <a:ext uri="{FF2B5EF4-FFF2-40B4-BE49-F238E27FC236}">
              <a16:creationId xmlns:a16="http://schemas.microsoft.com/office/drawing/2014/main" id="{D7260107-04E1-F8A7-4337-16AAE5CC8DB7}"/>
            </a:ext>
          </a:extLst>
        </xdr:cNvPr>
        <xdr:cNvGrpSpPr/>
      </xdr:nvGrpSpPr>
      <xdr:grpSpPr>
        <a:xfrm>
          <a:off x="40847969" y="15447866"/>
          <a:ext cx="4325833" cy="2788609"/>
          <a:chOff x="40850518" y="15480679"/>
          <a:chExt cx="4360079" cy="2794420"/>
        </a:xfrm>
      </xdr:grpSpPr>
      <xdr:graphicFrame macro="">
        <xdr:nvGraphicFramePr>
          <xdr:cNvPr id="16" name="Diagramm 15">
            <a:extLst>
              <a:ext uri="{FF2B5EF4-FFF2-40B4-BE49-F238E27FC236}">
                <a16:creationId xmlns:a16="http://schemas.microsoft.com/office/drawing/2014/main" id="{CE051C95-4381-4D14-AE89-F44F0C07607B}"/>
              </a:ext>
            </a:extLst>
          </xdr:cNvPr>
          <xdr:cNvGraphicFramePr>
            <a:graphicFrameLocks/>
          </xdr:cNvGraphicFramePr>
        </xdr:nvGraphicFramePr>
        <xdr:xfrm>
          <a:off x="40850518" y="15480679"/>
          <a:ext cx="4360079" cy="27944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sp macro="" textlink="">
        <xdr:nvSpPr>
          <xdr:cNvPr id="14" name="Rechteck: abgerundete Ecken 13">
            <a:extLst>
              <a:ext uri="{FF2B5EF4-FFF2-40B4-BE49-F238E27FC236}">
                <a16:creationId xmlns:a16="http://schemas.microsoft.com/office/drawing/2014/main" id="{5F867132-9040-4876-9A19-07C48B0D54D4}"/>
              </a:ext>
            </a:extLst>
          </xdr:cNvPr>
          <xdr:cNvSpPr/>
        </xdr:nvSpPr>
        <xdr:spPr>
          <a:xfrm>
            <a:off x="44049054" y="15625069"/>
            <a:ext cx="996701" cy="286129"/>
          </a:xfrm>
          <a:prstGeom prst="roundRect">
            <a:avLst/>
          </a:prstGeom>
          <a:solidFill>
            <a:schemeClr val="bg1"/>
          </a:solidFill>
          <a:ln w="19050">
            <a:solidFill>
              <a:schemeClr val="accent5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lang="de-CH" sz="1400">
                <a:solidFill>
                  <a:schemeClr val="tx1">
                    <a:lumMod val="65000"/>
                    <a:lumOff val="35000"/>
                  </a:schemeClr>
                </a:solidFill>
              </a:rPr>
              <a:t>R</a:t>
            </a:r>
            <a:r>
              <a:rPr lang="de-CH" sz="1400" baseline="30000">
                <a:solidFill>
                  <a:schemeClr val="tx1">
                    <a:lumMod val="65000"/>
                    <a:lumOff val="35000"/>
                  </a:schemeClr>
                </a:solidFill>
              </a:rPr>
              <a:t>2</a:t>
            </a:r>
            <a:r>
              <a:rPr lang="de-CH" sz="1200">
                <a:solidFill>
                  <a:schemeClr val="tx1">
                    <a:lumMod val="65000"/>
                    <a:lumOff val="35000"/>
                  </a:schemeClr>
                </a:solidFill>
              </a:rPr>
              <a:t> =</a:t>
            </a:r>
          </a:p>
        </xdr:txBody>
      </xdr:sp>
      <xdr:sp macro="" textlink="'R2 CAPEX'!O27">
        <xdr:nvSpPr>
          <xdr:cNvPr id="23" name="Rechteck 22">
            <a:extLst>
              <a:ext uri="{FF2B5EF4-FFF2-40B4-BE49-F238E27FC236}">
                <a16:creationId xmlns:a16="http://schemas.microsoft.com/office/drawing/2014/main" id="{0A291F68-9B33-47B8-875D-CF7B29E19165}"/>
              </a:ext>
            </a:extLst>
          </xdr:cNvPr>
          <xdr:cNvSpPr/>
        </xdr:nvSpPr>
        <xdr:spPr>
          <a:xfrm>
            <a:off x="44382327" y="15628994"/>
            <a:ext cx="664161" cy="28061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fld id="{86B9B30D-68F9-4B7D-BCCB-B72B36E024D7}" type="TxLink">
              <a:rPr lang="en-US" sz="14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rPr>
              <a:pPr algn="l"/>
              <a:t>0.500</a:t>
            </a:fld>
            <a:endParaRPr lang="de-CH" sz="14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21</xdr:col>
      <xdr:colOff>1068849</xdr:colOff>
      <xdr:row>66</xdr:row>
      <xdr:rowOff>31972</xdr:rowOff>
    </xdr:from>
    <xdr:to>
      <xdr:col>25</xdr:col>
      <xdr:colOff>629692</xdr:colOff>
      <xdr:row>81</xdr:row>
      <xdr:rowOff>91235</xdr:rowOff>
    </xdr:to>
    <xdr:grpSp>
      <xdr:nvGrpSpPr>
        <xdr:cNvPr id="31" name="Gruppieren 30">
          <a:extLst>
            <a:ext uri="{FF2B5EF4-FFF2-40B4-BE49-F238E27FC236}">
              <a16:creationId xmlns:a16="http://schemas.microsoft.com/office/drawing/2014/main" id="{D7593A51-55B7-AE55-EDB7-0B30273E74D8}"/>
            </a:ext>
          </a:extLst>
        </xdr:cNvPr>
        <xdr:cNvGrpSpPr/>
      </xdr:nvGrpSpPr>
      <xdr:grpSpPr>
        <a:xfrm>
          <a:off x="26173285" y="12390227"/>
          <a:ext cx="4326807" cy="2788608"/>
          <a:chOff x="26205896" y="12340511"/>
          <a:chExt cx="4329660" cy="2776506"/>
        </a:xfrm>
      </xdr:grpSpPr>
      <xdr:graphicFrame macro="">
        <xdr:nvGraphicFramePr>
          <xdr:cNvPr id="11" name="Diagramm 10">
            <a:extLst>
              <a:ext uri="{FF2B5EF4-FFF2-40B4-BE49-F238E27FC236}">
                <a16:creationId xmlns:a16="http://schemas.microsoft.com/office/drawing/2014/main" id="{0E113F6B-92BB-4566-BCBF-3CF987AFB905}"/>
              </a:ext>
            </a:extLst>
          </xdr:cNvPr>
          <xdr:cNvGraphicFramePr>
            <a:graphicFrameLocks/>
          </xdr:cNvGraphicFramePr>
        </xdr:nvGraphicFramePr>
        <xdr:xfrm>
          <a:off x="26205896" y="12340511"/>
          <a:ext cx="4329660" cy="277650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sp macro="" textlink="">
        <xdr:nvSpPr>
          <xdr:cNvPr id="25" name="Rechteck: abgerundete Ecken 24">
            <a:extLst>
              <a:ext uri="{FF2B5EF4-FFF2-40B4-BE49-F238E27FC236}">
                <a16:creationId xmlns:a16="http://schemas.microsoft.com/office/drawing/2014/main" id="{26CE84D1-6658-4AF7-8BD4-6C99A2834930}"/>
              </a:ext>
            </a:extLst>
          </xdr:cNvPr>
          <xdr:cNvSpPr/>
        </xdr:nvSpPr>
        <xdr:spPr>
          <a:xfrm>
            <a:off x="29100024" y="12837459"/>
            <a:ext cx="999770" cy="285091"/>
          </a:xfrm>
          <a:prstGeom prst="roundRect">
            <a:avLst/>
          </a:prstGeom>
          <a:solidFill>
            <a:schemeClr val="bg1"/>
          </a:solidFill>
          <a:ln w="19050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lang="de-CH" sz="1400">
                <a:solidFill>
                  <a:schemeClr val="tx1">
                    <a:lumMod val="65000"/>
                    <a:lumOff val="35000"/>
                  </a:schemeClr>
                </a:solidFill>
              </a:rPr>
              <a:t>R</a:t>
            </a:r>
            <a:r>
              <a:rPr lang="de-CH" sz="1400" baseline="30000">
                <a:solidFill>
                  <a:schemeClr val="tx1">
                    <a:lumMod val="65000"/>
                    <a:lumOff val="35000"/>
                  </a:schemeClr>
                </a:solidFill>
              </a:rPr>
              <a:t>2</a:t>
            </a:r>
            <a:r>
              <a:rPr lang="de-CH" sz="1200">
                <a:solidFill>
                  <a:schemeClr val="tx1">
                    <a:lumMod val="65000"/>
                    <a:lumOff val="35000"/>
                  </a:schemeClr>
                </a:solidFill>
              </a:rPr>
              <a:t> =</a:t>
            </a:r>
          </a:p>
        </xdr:txBody>
      </xdr:sp>
      <xdr:sp macro="" textlink="'R2 CAPEX'!K59">
        <xdr:nvSpPr>
          <xdr:cNvPr id="27" name="Rechteck 26">
            <a:extLst>
              <a:ext uri="{FF2B5EF4-FFF2-40B4-BE49-F238E27FC236}">
                <a16:creationId xmlns:a16="http://schemas.microsoft.com/office/drawing/2014/main" id="{BE6D6610-DAA5-4B34-9895-75E1D1358E54}"/>
              </a:ext>
            </a:extLst>
          </xdr:cNvPr>
          <xdr:cNvSpPr/>
        </xdr:nvSpPr>
        <xdr:spPr>
          <a:xfrm>
            <a:off x="29437405" y="12837829"/>
            <a:ext cx="661652" cy="28510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fld id="{73D760B3-7F77-4171-B94B-86E1152CE9F2}" type="TxLink">
              <a:rPr lang="en-US" sz="14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rPr>
              <a:pPr algn="l"/>
              <a:t>0.544</a:t>
            </a:fld>
            <a:endParaRPr lang="de-CH" sz="18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21</xdr:col>
      <xdr:colOff>1084871</xdr:colOff>
      <xdr:row>83</xdr:row>
      <xdr:rowOff>44297</xdr:rowOff>
    </xdr:from>
    <xdr:to>
      <xdr:col>25</xdr:col>
      <xdr:colOff>645714</xdr:colOff>
      <xdr:row>98</xdr:row>
      <xdr:rowOff>122673</xdr:rowOff>
    </xdr:to>
    <xdr:grpSp>
      <xdr:nvGrpSpPr>
        <xdr:cNvPr id="41" name="Gruppieren 40">
          <a:extLst>
            <a:ext uri="{FF2B5EF4-FFF2-40B4-BE49-F238E27FC236}">
              <a16:creationId xmlns:a16="http://schemas.microsoft.com/office/drawing/2014/main" id="{5D51C0B2-59E4-9F0D-5B86-15B8AC17E551}"/>
            </a:ext>
          </a:extLst>
        </xdr:cNvPr>
        <xdr:cNvGrpSpPr/>
      </xdr:nvGrpSpPr>
      <xdr:grpSpPr>
        <a:xfrm>
          <a:off x="26189307" y="15492115"/>
          <a:ext cx="4326807" cy="2807722"/>
          <a:chOff x="26221901" y="15427732"/>
          <a:chExt cx="4330059" cy="2794682"/>
        </a:xfrm>
      </xdr:grpSpPr>
      <xdr:graphicFrame macro="">
        <xdr:nvGraphicFramePr>
          <xdr:cNvPr id="13" name="Diagramm 12">
            <a:extLst>
              <a:ext uri="{FF2B5EF4-FFF2-40B4-BE49-F238E27FC236}">
                <a16:creationId xmlns:a16="http://schemas.microsoft.com/office/drawing/2014/main" id="{B61D993B-1289-4073-B111-8E39F9F449E7}"/>
              </a:ext>
            </a:extLst>
          </xdr:cNvPr>
          <xdr:cNvGraphicFramePr>
            <a:graphicFrameLocks/>
          </xdr:cNvGraphicFramePr>
        </xdr:nvGraphicFramePr>
        <xdr:xfrm>
          <a:off x="26221901" y="15427732"/>
          <a:ext cx="4330059" cy="27946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sp macro="" textlink="">
        <xdr:nvSpPr>
          <xdr:cNvPr id="28" name="Rechteck: abgerundete Ecken 27">
            <a:extLst>
              <a:ext uri="{FF2B5EF4-FFF2-40B4-BE49-F238E27FC236}">
                <a16:creationId xmlns:a16="http://schemas.microsoft.com/office/drawing/2014/main" id="{4F31383E-AA27-4C19-B1DE-E381FC3A8846}"/>
              </a:ext>
            </a:extLst>
          </xdr:cNvPr>
          <xdr:cNvSpPr/>
        </xdr:nvSpPr>
        <xdr:spPr>
          <a:xfrm>
            <a:off x="29242433" y="15878094"/>
            <a:ext cx="999771" cy="285253"/>
          </a:xfrm>
          <a:prstGeom prst="roundRect">
            <a:avLst/>
          </a:prstGeom>
          <a:solidFill>
            <a:schemeClr val="bg1"/>
          </a:solidFill>
          <a:ln w="19050">
            <a:solidFill>
              <a:schemeClr val="accent5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lang="de-CH" sz="1400">
                <a:solidFill>
                  <a:schemeClr val="tx1">
                    <a:lumMod val="65000"/>
                    <a:lumOff val="35000"/>
                  </a:schemeClr>
                </a:solidFill>
              </a:rPr>
              <a:t>R</a:t>
            </a:r>
            <a:r>
              <a:rPr lang="de-CH" sz="1400" baseline="30000">
                <a:solidFill>
                  <a:schemeClr val="tx1">
                    <a:lumMod val="65000"/>
                    <a:lumOff val="35000"/>
                  </a:schemeClr>
                </a:solidFill>
              </a:rPr>
              <a:t>2</a:t>
            </a:r>
            <a:r>
              <a:rPr lang="de-CH" sz="1200">
                <a:solidFill>
                  <a:schemeClr val="tx1">
                    <a:lumMod val="65000"/>
                    <a:lumOff val="35000"/>
                  </a:schemeClr>
                </a:solidFill>
              </a:rPr>
              <a:t> =</a:t>
            </a:r>
          </a:p>
        </xdr:txBody>
      </xdr:sp>
      <xdr:sp macro="" textlink="'R2 CAPEX'!O59">
        <xdr:nvSpPr>
          <xdr:cNvPr id="29" name="Rechteck 28">
            <a:extLst>
              <a:ext uri="{FF2B5EF4-FFF2-40B4-BE49-F238E27FC236}">
                <a16:creationId xmlns:a16="http://schemas.microsoft.com/office/drawing/2014/main" id="{528C08C2-469E-4340-A70F-9E768EFB6528}"/>
              </a:ext>
            </a:extLst>
          </xdr:cNvPr>
          <xdr:cNvSpPr/>
        </xdr:nvSpPr>
        <xdr:spPr>
          <a:xfrm>
            <a:off x="29579815" y="15878464"/>
            <a:ext cx="661653" cy="28526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fld id="{78951738-A0EC-4D14-9737-58DDCA4E63CA}" type="TxLink">
              <a:rPr lang="en-US" sz="14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rPr>
              <a:pPr algn="l"/>
              <a:t>0.125</a:t>
            </a:fld>
            <a:endParaRPr lang="de-CH" sz="240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19</xdr:col>
      <xdr:colOff>166828</xdr:colOff>
      <xdr:row>132</xdr:row>
      <xdr:rowOff>145010</xdr:rowOff>
    </xdr:from>
    <xdr:to>
      <xdr:col>22</xdr:col>
      <xdr:colOff>1122099</xdr:colOff>
      <xdr:row>146</xdr:row>
      <xdr:rowOff>159070</xdr:rowOff>
    </xdr:to>
    <xdr:grpSp>
      <xdr:nvGrpSpPr>
        <xdr:cNvPr id="47" name="Gruppieren 46">
          <a:extLst>
            <a:ext uri="{FF2B5EF4-FFF2-40B4-BE49-F238E27FC236}">
              <a16:creationId xmlns:a16="http://schemas.microsoft.com/office/drawing/2014/main" id="{CE584609-7D2F-BFB7-11F2-D3ACAB6C36F6}"/>
            </a:ext>
          </a:extLst>
        </xdr:cNvPr>
        <xdr:cNvGrpSpPr/>
      </xdr:nvGrpSpPr>
      <xdr:grpSpPr>
        <a:xfrm>
          <a:off x="23082246" y="24930792"/>
          <a:ext cx="4335780" cy="2535587"/>
          <a:chOff x="23110648" y="25268150"/>
          <a:chExt cx="4346171" cy="2574380"/>
        </a:xfrm>
      </xdr:grpSpPr>
      <xdr:graphicFrame macro="">
        <xdr:nvGraphicFramePr>
          <xdr:cNvPr id="8" name="Diagramm 7">
            <a:extLst>
              <a:ext uri="{FF2B5EF4-FFF2-40B4-BE49-F238E27FC236}">
                <a16:creationId xmlns:a16="http://schemas.microsoft.com/office/drawing/2014/main" id="{CB9A78F1-2EE3-42F7-A678-6A8D763FFBE1}"/>
              </a:ext>
            </a:extLst>
          </xdr:cNvPr>
          <xdr:cNvGraphicFramePr>
            <a:graphicFrameLocks/>
          </xdr:cNvGraphicFramePr>
        </xdr:nvGraphicFramePr>
        <xdr:xfrm>
          <a:off x="23110648" y="25268150"/>
          <a:ext cx="4346171" cy="25743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  <xdr:sp macro="" textlink="">
        <xdr:nvSpPr>
          <xdr:cNvPr id="42" name="Rechteck: abgerundete Ecken 41">
            <a:extLst>
              <a:ext uri="{FF2B5EF4-FFF2-40B4-BE49-F238E27FC236}">
                <a16:creationId xmlns:a16="http://schemas.microsoft.com/office/drawing/2014/main" id="{0B94105A-A3B9-0983-477F-16D28A7BA1D5}"/>
              </a:ext>
            </a:extLst>
          </xdr:cNvPr>
          <xdr:cNvSpPr/>
        </xdr:nvSpPr>
        <xdr:spPr>
          <a:xfrm>
            <a:off x="26128980" y="25366980"/>
            <a:ext cx="1107530" cy="289664"/>
          </a:xfrm>
          <a:prstGeom prst="roundRect">
            <a:avLst/>
          </a:prstGeom>
          <a:solidFill>
            <a:schemeClr val="bg1"/>
          </a:solidFill>
          <a:ln w="19050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 anchorCtr="0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de-CH" sz="1400">
                <a:solidFill>
                  <a:schemeClr val="tx1">
                    <a:lumMod val="65000"/>
                    <a:lumOff val="35000"/>
                  </a:schemeClr>
                </a:solidFill>
              </a:rPr>
              <a:t>MAPE =</a:t>
            </a:r>
          </a:p>
        </xdr:txBody>
      </xdr:sp>
      <xdr:sp macro="" textlink="$AD$163">
        <xdr:nvSpPr>
          <xdr:cNvPr id="43" name="Rechteck 42">
            <a:extLst>
              <a:ext uri="{FF2B5EF4-FFF2-40B4-BE49-F238E27FC236}">
                <a16:creationId xmlns:a16="http://schemas.microsoft.com/office/drawing/2014/main" id="{80E5A177-A8E1-B940-D2C9-B3829105A7D1}"/>
              </a:ext>
            </a:extLst>
          </xdr:cNvPr>
          <xdr:cNvSpPr/>
        </xdr:nvSpPr>
        <xdr:spPr>
          <a:xfrm>
            <a:off x="26744273" y="25367356"/>
            <a:ext cx="492237" cy="28967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 anchorCtr="0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fld id="{D932DD02-AFA1-4CE1-A4F4-F676DACEC6C6}" type="TxLink">
              <a:rPr lang="en-US" sz="14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rPr>
              <a:t>51%</a:t>
            </a:fld>
            <a:endParaRPr lang="de-CH" sz="4000" b="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16</xdr:col>
      <xdr:colOff>54970</xdr:colOff>
      <xdr:row>149</xdr:row>
      <xdr:rowOff>50403</xdr:rowOff>
    </xdr:from>
    <xdr:to>
      <xdr:col>18</xdr:col>
      <xdr:colOff>1538443</xdr:colOff>
      <xdr:row>163</xdr:row>
      <xdr:rowOff>51570</xdr:rowOff>
    </xdr:to>
    <xdr:grpSp>
      <xdr:nvGrpSpPr>
        <xdr:cNvPr id="46" name="Gruppieren 45">
          <a:extLst>
            <a:ext uri="{FF2B5EF4-FFF2-40B4-BE49-F238E27FC236}">
              <a16:creationId xmlns:a16="http://schemas.microsoft.com/office/drawing/2014/main" id="{D9130639-05BE-3C6F-37B4-BF03509EC92F}"/>
            </a:ext>
          </a:extLst>
        </xdr:cNvPr>
        <xdr:cNvGrpSpPr/>
      </xdr:nvGrpSpPr>
      <xdr:grpSpPr>
        <a:xfrm>
          <a:off x="18426097" y="27898039"/>
          <a:ext cx="4420637" cy="2522695"/>
          <a:chOff x="18449650" y="28282503"/>
          <a:chExt cx="4424793" cy="2561487"/>
        </a:xfrm>
      </xdr:grpSpPr>
      <xdr:graphicFrame macro="">
        <xdr:nvGraphicFramePr>
          <xdr:cNvPr id="7" name="Diagramm 6">
            <a:extLst>
              <a:ext uri="{FF2B5EF4-FFF2-40B4-BE49-F238E27FC236}">
                <a16:creationId xmlns:a16="http://schemas.microsoft.com/office/drawing/2014/main" id="{CEA00A23-A798-499F-A74C-92F72232CBCF}"/>
              </a:ext>
            </a:extLst>
          </xdr:cNvPr>
          <xdr:cNvGraphicFramePr>
            <a:graphicFrameLocks/>
          </xdr:cNvGraphicFramePr>
        </xdr:nvGraphicFramePr>
        <xdr:xfrm>
          <a:off x="18449650" y="28282503"/>
          <a:ext cx="4424793" cy="25614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  <xdr:sp macro="" textlink="">
        <xdr:nvSpPr>
          <xdr:cNvPr id="44" name="Rechteck: abgerundete Ecken 43">
            <a:extLst>
              <a:ext uri="{FF2B5EF4-FFF2-40B4-BE49-F238E27FC236}">
                <a16:creationId xmlns:a16="http://schemas.microsoft.com/office/drawing/2014/main" id="{3F678913-6176-5826-0432-1AF90D07EF9E}"/>
              </a:ext>
            </a:extLst>
          </xdr:cNvPr>
          <xdr:cNvSpPr/>
        </xdr:nvSpPr>
        <xdr:spPr>
          <a:xfrm>
            <a:off x="21511260" y="28384500"/>
            <a:ext cx="1107530" cy="289664"/>
          </a:xfrm>
          <a:prstGeom prst="roundRect">
            <a:avLst/>
          </a:prstGeom>
          <a:solidFill>
            <a:schemeClr val="bg1"/>
          </a:solidFill>
          <a:ln w="19050">
            <a:solidFill>
              <a:srgbClr val="B381D9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 anchorCtr="0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de-CH" sz="1400">
                <a:solidFill>
                  <a:schemeClr val="tx1">
                    <a:lumMod val="65000"/>
                    <a:lumOff val="35000"/>
                  </a:schemeClr>
                </a:solidFill>
              </a:rPr>
              <a:t>MAPE =</a:t>
            </a:r>
          </a:p>
        </xdr:txBody>
      </xdr:sp>
      <xdr:sp macro="" textlink="$AC$163">
        <xdr:nvSpPr>
          <xdr:cNvPr id="45" name="Rechteck 44">
            <a:extLst>
              <a:ext uri="{FF2B5EF4-FFF2-40B4-BE49-F238E27FC236}">
                <a16:creationId xmlns:a16="http://schemas.microsoft.com/office/drawing/2014/main" id="{7CC2A733-223E-1EAF-26DE-3E258CBA25AA}"/>
              </a:ext>
            </a:extLst>
          </xdr:cNvPr>
          <xdr:cNvSpPr/>
        </xdr:nvSpPr>
        <xdr:spPr>
          <a:xfrm>
            <a:off x="22126553" y="28384876"/>
            <a:ext cx="492237" cy="28967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 anchorCtr="0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fld id="{30907F3D-499F-4C01-AF20-208C2A65273C}" type="TxLink">
              <a:rPr lang="en-US" sz="14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rPr>
              <a:t>17%</a:t>
            </a:fld>
            <a:endParaRPr lang="de-CH" sz="4000" b="0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0.69347</cdr:x>
      <cdr:y>0.03796</cdr:y>
    </cdr:from>
    <cdr:to>
      <cdr:x>0.94552</cdr:x>
      <cdr:y>0.15063</cdr:y>
    </cdr:to>
    <cdr:grpSp>
      <cdr:nvGrpSpPr>
        <cdr:cNvPr id="4" name="Gruppieren 3">
          <a:extLst xmlns:a="http://schemas.openxmlformats.org/drawingml/2006/main">
            <a:ext uri="{FF2B5EF4-FFF2-40B4-BE49-F238E27FC236}">
              <a16:creationId xmlns:a16="http://schemas.microsoft.com/office/drawing/2014/main" id="{5F9723F4-D3A8-5A60-6CF9-E156C97C1A8D}"/>
            </a:ext>
          </a:extLst>
        </cdr:cNvPr>
        <cdr:cNvGrpSpPr/>
      </cdr:nvGrpSpPr>
      <cdr:grpSpPr>
        <a:xfrm xmlns:a="http://schemas.openxmlformats.org/drawingml/2006/main">
          <a:off x="3044342" y="96250"/>
          <a:ext cx="1106482" cy="285679"/>
          <a:chOff x="3047224" y="97723"/>
          <a:chExt cx="1107530" cy="290049"/>
        </a:xfrm>
      </cdr:grpSpPr>
      <cdr:sp macro="" textlink="">
        <cdr:nvSpPr>
          <cdr:cNvPr id="2" name="Rechteck: abgerundete Ecken 1">
            <a:extLst xmlns:a="http://schemas.openxmlformats.org/drawingml/2006/main">
              <a:ext uri="{FF2B5EF4-FFF2-40B4-BE49-F238E27FC236}">
                <a16:creationId xmlns:a16="http://schemas.microsoft.com/office/drawing/2014/main" id="{493E7A18-3715-4A87-A40A-6C78855973CB}"/>
              </a:ext>
            </a:extLst>
          </cdr:cNvPr>
          <cdr:cNvSpPr/>
        </cdr:nvSpPr>
        <cdr:spPr>
          <a:xfrm xmlns:a="http://schemas.openxmlformats.org/drawingml/2006/main">
            <a:off x="3047224" y="97723"/>
            <a:ext cx="1107530" cy="289664"/>
          </a:xfrm>
          <a:prstGeom xmlns:a="http://schemas.openxmlformats.org/drawingml/2006/main" prst="roundRect">
            <a:avLst/>
          </a:prstGeom>
          <a:solidFill xmlns:a="http://schemas.openxmlformats.org/drawingml/2006/main">
            <a:schemeClr val="bg1"/>
          </a:solidFill>
          <a:ln xmlns:a="http://schemas.openxmlformats.org/drawingml/2006/main" w="19050">
            <a:solidFill>
              <a:srgbClr val="61953D"/>
            </a:solidFill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tlCol="0" anchor="ctr" anchorCtr="0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r>
              <a:rPr lang="de-CH" sz="1400">
                <a:solidFill>
                  <a:schemeClr val="tx1">
                    <a:lumMod val="65000"/>
                    <a:lumOff val="35000"/>
                  </a:schemeClr>
                </a:solidFill>
              </a:rPr>
              <a:t>MAPE =</a:t>
            </a:r>
          </a:p>
        </cdr:txBody>
      </cdr:sp>
      <cdr:sp macro="" textlink="CAPEX!$AB$163">
        <cdr:nvSpPr>
          <cdr:cNvPr id="3" name="Rechteck 2">
            <a:extLst xmlns:a="http://schemas.openxmlformats.org/drawingml/2006/main">
              <a:ext uri="{FF2B5EF4-FFF2-40B4-BE49-F238E27FC236}">
                <a16:creationId xmlns:a16="http://schemas.microsoft.com/office/drawing/2014/main" id="{88789C9A-BA70-402B-A726-A28820D4A47C}"/>
              </a:ext>
            </a:extLst>
          </cdr:cNvPr>
          <cdr:cNvSpPr/>
        </cdr:nvSpPr>
        <cdr:spPr>
          <a:xfrm xmlns:a="http://schemas.openxmlformats.org/drawingml/2006/main">
            <a:off x="3662517" y="98099"/>
            <a:ext cx="492237" cy="289673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1">
              <a:shade val="15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rtlCol="0" anchor="ctr" anchorCtr="0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/>
            <a:fld id="{CD7D172D-BF73-43A6-BFB0-80722C5522D2}" type="TxLink">
              <a:rPr lang="en-US" sz="14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rPr>
              <a:t>13%</a:t>
            </a:fld>
            <a:endParaRPr lang="de-CH" sz="3200" b="0">
              <a:solidFill>
                <a:schemeClr val="tx1">
                  <a:lumMod val="65000"/>
                  <a:lumOff val="35000"/>
                </a:schemeClr>
              </a:solidFill>
            </a:endParaRPr>
          </a:p>
        </cdr:txBody>
      </cdr:sp>
    </cdr:grp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AD6343-82A7-4AC9-81FA-6AE17DEDAF2A}" name="Tabelle3" displayName="Tabelle3" ref="B112:K126" totalsRowShown="0">
  <autoFilter ref="B112:K126" xr:uid="{7EAD6343-82A7-4AC9-81FA-6AE17DEDAF2A}"/>
  <tableColumns count="10">
    <tableColumn id="1" xr3:uid="{663B53A6-D175-47DE-8505-093FB7DF0B26}" name="Source name"/>
    <tableColumn id="2" xr3:uid="{594EFCC7-E921-4ACB-8C19-0E2020B3B458}" name="storage type"/>
    <tableColumn id="7" xr3:uid="{FE5EC8FB-EBC7-4150-B051-75C240FA641E}" name="CAPEX curve factor"/>
    <tableColumn id="3" xr3:uid="{7740B9E0-2484-4F02-AFAC-46B2161D03D9}" name="CAPEX curve exponent"/>
    <tableColumn id="4" xr3:uid="{B491D73B-2650-476E-9225-BE7354BB937C}" name="CAPEX curve constant"/>
    <tableColumn id="5" xr3:uid="{3E1D2FFB-A690-4305-9BD4-20001ACE7712}" name="currency"/>
    <tableColumn id="10" xr3:uid="{6E85D60D-BF65-4D95-A117-588B8DC7CFF2}" name="year"/>
    <tableColumn id="9" xr3:uid="{A61F42B9-FC95-46B6-BCE6-A9CBCBE7B6E0}" name="monetary value 2025 [CHF]" dataDxfId="52">
      <calculatedColumnFormula>'inflation &amp; currencies'!$B$58/INDEX('inflation &amp; currencies'!$B:$B,MATCH(Tabelle3[[#This Row],[year]],'inflation &amp; currencies'!$A:$A,0))/INDEX('inflation &amp; currencies'!$C$3:$AV$58,MATCH(Tabelle3[[#This Row],[year]],'inflation &amp; currencies'!$A$3:$A$58,0),MATCH(Tabelle3[[#This Row],[currency]],'inflation &amp; currencies'!$C$2:$AV$2,0))</calculatedColumnFormula>
    </tableColumn>
    <tableColumn id="6" xr3:uid="{852D6F92-F17D-436F-B0E7-6F01ABAADF6E}" name="source link" dataCellStyle="Link"/>
    <tableColumn id="8" xr3:uid="{B8E17EAD-6B83-44E1-9AA6-4AE287EB918B}" name="comment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AF23B9C-BD72-4FD9-9990-12A18CF6AD3E}" name="Tabelle38" displayName="Tabelle38" ref="B167:K171" totalsRowShown="0">
  <autoFilter ref="B167:K171" xr:uid="{8AF23B9C-BD72-4FD9-9990-12A18CF6AD3E}"/>
  <tableColumns count="10">
    <tableColumn id="1" xr3:uid="{2FC652A6-F2CA-4E3A-AAFE-DCC143C4F2FF}" name="Source name"/>
    <tableColumn id="2" xr3:uid="{C473D415-037C-4EB0-A688-D10098C18659}" name="storage type"/>
    <tableColumn id="7" xr3:uid="{6BAE334C-AD7E-402D-8803-DC108674AA3F}" name="CAPEX curve factor" dataDxfId="51">
      <calculatedColumnFormula>EXP(9.7941)</calculatedColumnFormula>
    </tableColumn>
    <tableColumn id="3" xr3:uid="{E3954221-9BAE-450D-8614-E661448D51AA}" name="CAPEX curve exponent"/>
    <tableColumn id="4" xr3:uid="{A5DA245F-9FC2-4F6E-8C00-6F709DC06918}" name="CAPEX curve constant"/>
    <tableColumn id="5" xr3:uid="{C5AB0572-7FDB-4887-A6E9-B91E350E8131}" name="currency"/>
    <tableColumn id="10" xr3:uid="{651F60D9-27DF-4BE8-8499-55D452BAF61D}" name="year"/>
    <tableColumn id="9" xr3:uid="{FA6A7A94-2948-4EA7-93C6-C6F6E016D97C}" name="monetary value 2025 [CHF]" dataDxfId="50">
      <calculatedColumnFormula>'inflation &amp; currencies'!$B$58/INDEX('inflation &amp; currencies'!$B:$B,MATCH(Tabelle38[[#This Row],[year]],'inflation &amp; currencies'!$A:$A,0))/INDEX('inflation &amp; currencies'!$C$3:$AV$58,MATCH(Tabelle38[[#This Row],[year]],'inflation &amp; currencies'!$A$3:$A$58,0),MATCH(Tabelle38[[#This Row],[currency]],'inflation &amp; currencies'!$C$2:$AV$2,0))</calculatedColumnFormula>
    </tableColumn>
    <tableColumn id="6" xr3:uid="{90744B4A-9C2B-4023-99DF-238B44F57459}" name="source link" dataCellStyle="Link"/>
    <tableColumn id="8" xr3:uid="{DDEBDE0E-97A3-442B-AAAB-D5950D7ADC3C}" name="comment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4F7816-5BD8-4480-B670-93EB26EB1CCC}" name="Tabelle1" displayName="Tabelle1" ref="A1:D11" totalsRowShown="0">
  <autoFilter ref="A1:D11" xr:uid="{EF4F7816-5BD8-4480-B670-93EB26EB1CCC}"/>
  <sortState xmlns:xlrd2="http://schemas.microsoft.com/office/spreadsheetml/2017/richdata2" ref="A2:D10">
    <sortCondition ref="B1:B10"/>
  </sortState>
  <tableColumns count="4">
    <tableColumn id="1" xr3:uid="{AE3D5EAB-73CC-43B9-8826-5586EF79594C}" name="Source name"/>
    <tableColumn id="3" xr3:uid="{8B519BC9-9B35-4244-9F18-AC1C9D3DBFA1}" name="storage type"/>
    <tableColumn id="5" xr3:uid="{FFFAF33F-D8A4-4D4D-B02D-089A956125E9}" name="OPEX [(currency)/kWh] or [% of CAPEX]" dataDxfId="49" dataCellStyle="Prozent"/>
    <tableColumn id="6" xr3:uid="{2F0903EA-B9B1-4490-8F8F-817F6A598C8E}" name="source link" dataCellStyle="Link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A675C3-6482-478D-AF11-F9E543EDB51D}" name="Tabelle4" displayName="Tabelle4" ref="A2:AV58" totalsRowShown="0" dataDxfId="48">
  <autoFilter ref="A2:AV58" xr:uid="{85A675C3-6482-478D-AF11-F9E543EDB51D}"/>
  <tableColumns count="48">
    <tableColumn id="1" xr3:uid="{A5C6E41B-A9EE-4629-8157-58E401B7FF67}" name="year" dataDxfId="47"/>
    <tableColumn id="2" xr3:uid="{6CC1269B-2D12-4753-B431-263E96C54455}" name="CH infl." dataDxfId="46"/>
    <tableColumn id="51" xr3:uid="{49A0F70C-8C89-4448-A559-1C342C13B41D}" name="AU" dataDxfId="45"/>
    <tableColumn id="52" xr3:uid="{06421C4F-41BA-48A6-A5D7-0E1A4EB46CDE}" name="AT" dataDxfId="44"/>
    <tableColumn id="53" xr3:uid="{3E157A5C-B61C-4AFB-B9D0-9F7C2912372E}" name="BE" dataDxfId="43"/>
    <tableColumn id="54" xr3:uid="{873FE0CA-C39E-4A31-BD0B-9483EC8DE681}" name="CA" dataDxfId="42"/>
    <tableColumn id="3" xr3:uid="{8C76B704-5737-4527-BE37-12D505BC8267}" name="CHF" dataDxfId="41"/>
    <tableColumn id="55" xr3:uid="{FA26BC40-A812-4188-8E05-C5E7E6EEFF85}" name="CL" dataDxfId="40"/>
    <tableColumn id="56" xr3:uid="{F6A3CB0C-63DC-49D5-80CA-4E7B20450D83}" name="CO" dataDxfId="39"/>
    <tableColumn id="57" xr3:uid="{7FA78A7C-9862-4947-97B2-76C750207E2F}" name="CR" dataDxfId="38"/>
    <tableColumn id="58" xr3:uid="{06CE61C5-D058-47CF-B279-A4A25A49BB55}" name="CZ" dataDxfId="37"/>
    <tableColumn id="59" xr3:uid="{CDCD4D55-B16E-4C26-BBF1-DCB8E89C937A}" name="DK" dataDxfId="36"/>
    <tableColumn id="60" xr3:uid="{D8A4F72E-AA44-495C-BC37-7BC72F78A125}" name="EE" dataDxfId="35"/>
    <tableColumn id="61" xr3:uid="{25772D86-834B-40E8-A33F-C061A5B9DFE6}" name="FI" dataDxfId="34"/>
    <tableColumn id="62" xr3:uid="{7F5A8E1C-B7C3-4114-B8B8-D101FA6EFCCF}" name="FR" dataDxfId="33"/>
    <tableColumn id="63" xr3:uid="{552D97C7-C9F0-48EC-B84D-AD18AAFCE462}" name="DE" dataDxfId="32"/>
    <tableColumn id="64" xr3:uid="{2EE6860E-CAD9-4E2E-BF87-23981362B2A7}" name="GR" dataDxfId="31"/>
    <tableColumn id="65" xr3:uid="{50CC4182-359C-4BF3-AE17-E759E8B9E611}" name="HU" dataDxfId="30"/>
    <tableColumn id="66" xr3:uid="{AD0FF26F-81D6-4A88-B96D-2D876F018ECC}" name="IS" dataDxfId="29"/>
    <tableColumn id="67" xr3:uid="{2791055B-E5AC-48DC-AC3C-AD4B9F6DDC10}" name="IE" dataDxfId="28"/>
    <tableColumn id="68" xr3:uid="{7D783899-B1B7-42BA-BE52-797BE6E931AA}" name="IL" dataDxfId="27"/>
    <tableColumn id="69" xr3:uid="{1390EB65-9279-4C18-9369-59C410B4FE60}" name="IT" dataDxfId="26"/>
    <tableColumn id="70" xr3:uid="{64B44021-B8D2-4239-9229-9614A1A653A4}" name="JP" dataDxfId="25"/>
    <tableColumn id="71" xr3:uid="{5CB7F86C-34AA-49DE-AF99-8066D54AD326}" name="KR" dataDxfId="24"/>
    <tableColumn id="72" xr3:uid="{A3B4D831-D354-4F84-B038-9CAAAD84FCD5}" name="LV" dataDxfId="23"/>
    <tableColumn id="73" xr3:uid="{BB8F8328-B295-49B8-8EA8-64D893339AA7}" name="LT" dataDxfId="22"/>
    <tableColumn id="74" xr3:uid="{9714F079-A627-4BFB-AA30-90BD1DB1A3A2}" name="LU" dataDxfId="21"/>
    <tableColumn id="75" xr3:uid="{27898692-7FFE-4382-B516-41D6F711A1C3}" name="MX" dataDxfId="20"/>
    <tableColumn id="76" xr3:uid="{A970C586-86F9-4AE5-B0FC-62AE548F5324}" name="NL" dataDxfId="19"/>
    <tableColumn id="77" xr3:uid="{9F78F72B-7A21-43B8-96F2-525FD5571793}" name="NZ" dataDxfId="18"/>
    <tableColumn id="78" xr3:uid="{063DCDA7-9662-4817-8641-EF9D3BC20159}" name="NO" dataDxfId="17"/>
    <tableColumn id="79" xr3:uid="{3F720062-BC58-45BA-B35E-3AE84A41A094}" name="PL" dataDxfId="16"/>
    <tableColumn id="80" xr3:uid="{F437D6E5-2EBD-481C-B60B-3685DA1A6EBF}" name="PT" dataDxfId="15"/>
    <tableColumn id="81" xr3:uid="{2EF360D1-FDE8-424F-B90E-F1DD46C4A116}" name="SK" dataDxfId="14"/>
    <tableColumn id="82" xr3:uid="{4F1AC310-11DC-4F46-8BAC-00ACD350E8B3}" name="SI" dataDxfId="13"/>
    <tableColumn id="83" xr3:uid="{6C04753D-E2D0-44F5-B679-4C9EA3013049}" name="ES" dataDxfId="12"/>
    <tableColumn id="84" xr3:uid="{DFBD0C17-91FF-4026-9DC1-AFB60B7E274D}" name="SE" dataDxfId="11"/>
    <tableColumn id="86" xr3:uid="{2287DD84-D715-4EFB-8803-1B249067D39D}" name="TR" dataDxfId="10"/>
    <tableColumn id="87" xr3:uid="{079DE8BB-35E8-4ACE-8E53-6AF34FFECD84}" name="GB" dataDxfId="9"/>
    <tableColumn id="88" xr3:uid="{E7F5A4C8-1E24-4540-9C0F-E1030BF166EF}" name="US" dataDxfId="8"/>
    <tableColumn id="89" xr3:uid="{B7532ACA-B128-408B-BE58-ECA37723E0A9}" name="EUR" dataDxfId="7"/>
    <tableColumn id="90" xr3:uid="{B6A50976-B27F-4E0C-93BF-265A3982C300}" name="EU" dataDxfId="6"/>
    <tableColumn id="92" xr3:uid="{3081A7C1-A50B-4AA8-AD48-1C74B8F36339}" name="Brazil" dataDxfId="5"/>
    <tableColumn id="93" xr3:uid="{DA8B2E7E-DD31-4CD8-9D56-D3950EC50FC8}" name="China (People’s Republic of)" dataDxfId="4"/>
    <tableColumn id="94" xr3:uid="{FC904F5D-61CE-4108-B4A8-3AF2BDE79F80}" name="India" dataDxfId="3"/>
    <tableColumn id="95" xr3:uid="{94A78325-B6B7-43C0-984D-72F672AC1CA4}" name="Indonesia" dataDxfId="2"/>
    <tableColumn id="96" xr3:uid="{E78294D7-F875-4D3A-A706-8079271EAE7A}" name="Russia" dataDxfId="1"/>
    <tableColumn id="97" xr3:uid="{7209AEB3-AC9F-4FAA-AF39-FF34E38C3AD8}" name="South Afric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115/1.4069122" TargetMode="External"/><Relationship Id="rId21" Type="http://schemas.openxmlformats.org/officeDocument/2006/relationships/hyperlink" Target="https://doi.org/10.1016/j.rser.2021.110732" TargetMode="External"/><Relationship Id="rId42" Type="http://schemas.openxmlformats.org/officeDocument/2006/relationships/hyperlink" Target="https://www.mega-monheim.de/unternehmen/aktuelles/deutschlands-erster-erdbeckenspeicher-hat-es-schwer?" TargetMode="External"/><Relationship Id="rId63" Type="http://schemas.openxmlformats.org/officeDocument/2006/relationships/hyperlink" Target="https://doi.org/10.1016/j.rser.2021.110732" TargetMode="External"/><Relationship Id="rId84" Type="http://schemas.openxmlformats.org/officeDocument/2006/relationships/hyperlink" Target="https://ens.dk/en/analyses-and-statistics/technology-data-energy-storage" TargetMode="External"/><Relationship Id="rId16" Type="http://schemas.openxmlformats.org/officeDocument/2006/relationships/hyperlink" Target="https://doi.org/10.1016/j.rser.2021.110732" TargetMode="External"/><Relationship Id="rId107" Type="http://schemas.openxmlformats.org/officeDocument/2006/relationships/hyperlink" Target="https://www.euroheat.org/dhc/knowledge-hub/large-storage-systems-for-dhc-networks" TargetMode="External"/><Relationship Id="rId11" Type="http://schemas.openxmlformats.org/officeDocument/2006/relationships/hyperlink" Target="https://doi.org/10.1016/j.rser.2018.06.057" TargetMode="External"/><Relationship Id="rId32" Type="http://schemas.openxmlformats.org/officeDocument/2006/relationships/hyperlink" Target="https://www.solarwaerme-bracht.de/technik/" TargetMode="External"/><Relationship Id="rId37" Type="http://schemas.openxmlformats.org/officeDocument/2006/relationships/hyperlink" Target="https://www.mega-monheim.de/unternehmen/aktuelles/deutschlands-erster-erdbeckenspeicher-hat-es-schwer?" TargetMode="External"/><Relationship Id="rId53" Type="http://schemas.openxmlformats.org/officeDocument/2006/relationships/hyperlink" Target="https://doi.org/10.1016/j.rser.2021.110732" TargetMode="External"/><Relationship Id="rId58" Type="http://schemas.openxmlformats.org/officeDocument/2006/relationships/hyperlink" Target="https://doi.org/10.1016/j.rser.2021.110732" TargetMode="External"/><Relationship Id="rId74" Type="http://schemas.openxmlformats.org/officeDocument/2006/relationships/hyperlink" Target="https://doi.org/10.1016/j.rser.2021.110732" TargetMode="External"/><Relationship Id="rId79" Type="http://schemas.openxmlformats.org/officeDocument/2006/relationships/hyperlink" Target="https://www.euroheat.org/dhc/knowledge-hub/large-storage-systems-for-dhc-networks" TargetMode="External"/><Relationship Id="rId102" Type="http://schemas.openxmlformats.org/officeDocument/2006/relationships/hyperlink" Target="https://www.euroheat.org/dhc/knowledge-hub/large-storage-systems-for-dhc-networks" TargetMode="External"/><Relationship Id="rId123" Type="http://schemas.openxmlformats.org/officeDocument/2006/relationships/hyperlink" Target="https://doi.org/10.1016/j.rser.2018.06.057" TargetMode="External"/><Relationship Id="rId128" Type="http://schemas.openxmlformats.org/officeDocument/2006/relationships/hyperlink" Target="https://doi.org/10.1016/j.rser.2025.116202" TargetMode="External"/><Relationship Id="rId5" Type="http://schemas.openxmlformats.org/officeDocument/2006/relationships/hyperlink" Target="https://www.euroheat.org/dhc/knowledge-hub/large-storage-systems-for-dhc-networks" TargetMode="External"/><Relationship Id="rId90" Type="http://schemas.openxmlformats.org/officeDocument/2006/relationships/hyperlink" Target="https://doi.org/10.1115/1.4069122" TargetMode="External"/><Relationship Id="rId95" Type="http://schemas.openxmlformats.org/officeDocument/2006/relationships/hyperlink" Target="https://www.euroheat.org/dhc/knowledge-hub/large-storage-systems-for-dhc-networks" TargetMode="External"/><Relationship Id="rId22" Type="http://schemas.openxmlformats.org/officeDocument/2006/relationships/hyperlink" Target="https://www.saisonalspeicher.de/" TargetMode="External"/><Relationship Id="rId27" Type="http://schemas.openxmlformats.org/officeDocument/2006/relationships/hyperlink" Target="https://doi.org/10.1016/j.rser.2021.110732" TargetMode="External"/><Relationship Id="rId43" Type="http://schemas.openxmlformats.org/officeDocument/2006/relationships/hyperlink" Target="https://www.verenum.ch/Dokumente/2012_Mangold_Speicher.pdf" TargetMode="External"/><Relationship Id="rId48" Type="http://schemas.openxmlformats.org/officeDocument/2006/relationships/hyperlink" Target="https://www.verenum.ch/Dokumente/2012_Mangold_Speicher.pdf" TargetMode="External"/><Relationship Id="rId64" Type="http://schemas.openxmlformats.org/officeDocument/2006/relationships/hyperlink" Target="https://doi.org/10.1016/j.rser.2021.110732" TargetMode="External"/><Relationship Id="rId69" Type="http://schemas.openxmlformats.org/officeDocument/2006/relationships/hyperlink" Target="https://doi.org/10.1016/j.rser.2021.110732" TargetMode="External"/><Relationship Id="rId113" Type="http://schemas.openxmlformats.org/officeDocument/2006/relationships/hyperlink" Target="https://doi.org/10.1016/j.rser.2018.06.057" TargetMode="External"/><Relationship Id="rId118" Type="http://schemas.openxmlformats.org/officeDocument/2006/relationships/hyperlink" Target="https://ens.dk/en/analyses-and-statistics/technology-data-energy-storage" TargetMode="External"/><Relationship Id="rId134" Type="http://schemas.openxmlformats.org/officeDocument/2006/relationships/vmlDrawing" Target="../drawings/vmlDrawing1.vml"/><Relationship Id="rId80" Type="http://schemas.openxmlformats.org/officeDocument/2006/relationships/hyperlink" Target="https://www.euroheat.org/dhc/knowledge-hub/large-storage-systems-for-dhc-networks" TargetMode="External"/><Relationship Id="rId85" Type="http://schemas.openxmlformats.org/officeDocument/2006/relationships/hyperlink" Target="https://ens.dk/en/analyses-and-statistics/technology-data-energy-storage" TargetMode="External"/><Relationship Id="rId12" Type="http://schemas.openxmlformats.org/officeDocument/2006/relationships/hyperlink" Target="https://doi.org/10.1016/j.rser.2018.06.057" TargetMode="External"/><Relationship Id="rId17" Type="http://schemas.openxmlformats.org/officeDocument/2006/relationships/hyperlink" Target="https://ens.dk/en/analyses-and-statistics/technology-data-energy-storage" TargetMode="External"/><Relationship Id="rId33" Type="http://schemas.openxmlformats.org/officeDocument/2006/relationships/hyperlink" Target="https://ens.dk/en/analyses-and-statistics/technology-data-energy-storage" TargetMode="External"/><Relationship Id="rId38" Type="http://schemas.openxmlformats.org/officeDocument/2006/relationships/hyperlink" Target="https://www.solar-district-heating.eu/en/plant-database/" TargetMode="External"/><Relationship Id="rId59" Type="http://schemas.openxmlformats.org/officeDocument/2006/relationships/hyperlink" Target="https://www.solar-district-heating.eu/en/plant-database/" TargetMode="External"/><Relationship Id="rId103" Type="http://schemas.openxmlformats.org/officeDocument/2006/relationships/hyperlink" Target="https://www.euroheat.org/dhc/knowledge-hub/large-storage-systems-for-dhc-networks" TargetMode="External"/><Relationship Id="rId108" Type="http://schemas.openxmlformats.org/officeDocument/2006/relationships/hyperlink" Target="https://www.euroheat.org/dhc/knowledge-hub/large-storage-systems-for-dhc-networks" TargetMode="External"/><Relationship Id="rId124" Type="http://schemas.openxmlformats.org/officeDocument/2006/relationships/hyperlink" Target="https://doi.org/10.1016/j.rser.2018.06.057" TargetMode="External"/><Relationship Id="rId129" Type="http://schemas.openxmlformats.org/officeDocument/2006/relationships/hyperlink" Target="https://doi.org/10.1016/j.rser.2025.116202" TargetMode="External"/><Relationship Id="rId54" Type="http://schemas.openxmlformats.org/officeDocument/2006/relationships/hyperlink" Target="https://doi.org/10.1016/j.rser.2021.110732" TargetMode="External"/><Relationship Id="rId70" Type="http://schemas.openxmlformats.org/officeDocument/2006/relationships/hyperlink" Target="https://doi.org/10.1016/j.rser.2021.110732" TargetMode="External"/><Relationship Id="rId75" Type="http://schemas.openxmlformats.org/officeDocument/2006/relationships/hyperlink" Target="https://www.euroheat.org/dhc/knowledge-hub/large-storage-systems-for-dhc-networks" TargetMode="External"/><Relationship Id="rId91" Type="http://schemas.openxmlformats.org/officeDocument/2006/relationships/hyperlink" Target="https://doi.org/10.1115/1.4069122" TargetMode="External"/><Relationship Id="rId96" Type="http://schemas.openxmlformats.org/officeDocument/2006/relationships/hyperlink" Target="https://www.euroheat.org/dhc/knowledge-hub/large-storage-systems-for-dhc-networks" TargetMode="External"/><Relationship Id="rId1" Type="http://schemas.openxmlformats.org/officeDocument/2006/relationships/hyperlink" Target="https://ens.dk/en/analyses-and-statistics/technology-data-energy-storage" TargetMode="External"/><Relationship Id="rId6" Type="http://schemas.openxmlformats.org/officeDocument/2006/relationships/hyperlink" Target="https://web.archive.org/web/20200814120602/https:/www.solarthermalworld.org/sites/gstec/files/news/file/2016-05-28/iea-shc_task_52_stc1-classification_and_benchmarking_2016-03-31_report.pdf" TargetMode="External"/><Relationship Id="rId23" Type="http://schemas.openxmlformats.org/officeDocument/2006/relationships/hyperlink" Target="http://www.aee-now.at/cms/fileadmin/downloads/projekte/store4grid/store4grid_stand_der_technik.pdf" TargetMode="External"/><Relationship Id="rId28" Type="http://schemas.openxmlformats.org/officeDocument/2006/relationships/hyperlink" Target="https://www.saisonalspeicher.de/" TargetMode="External"/><Relationship Id="rId49" Type="http://schemas.openxmlformats.org/officeDocument/2006/relationships/hyperlink" Target="https://www.verenum.ch/Dokumente/2012_Mangold_Speicher.pdf" TargetMode="External"/><Relationship Id="rId114" Type="http://schemas.openxmlformats.org/officeDocument/2006/relationships/hyperlink" Target="https://doi.org/10.1016/j.rser.2018.06.057" TargetMode="External"/><Relationship Id="rId119" Type="http://schemas.openxmlformats.org/officeDocument/2006/relationships/hyperlink" Target="https://doi.org/10.1016/j.rser.2025.116202" TargetMode="External"/><Relationship Id="rId44" Type="http://schemas.openxmlformats.org/officeDocument/2006/relationships/hyperlink" Target="https://www.verenum.ch/Dokumente/2012_Mangold_Speicher.pdf" TargetMode="External"/><Relationship Id="rId60" Type="http://schemas.openxmlformats.org/officeDocument/2006/relationships/hyperlink" Target="https://www.saisonalspeicher.de/" TargetMode="External"/><Relationship Id="rId65" Type="http://schemas.openxmlformats.org/officeDocument/2006/relationships/hyperlink" Target="https://doi.org/10.1016/j.rser.2021.110732" TargetMode="External"/><Relationship Id="rId81" Type="http://schemas.openxmlformats.org/officeDocument/2006/relationships/hyperlink" Target="https://doi.org/10.1115/1.4069122" TargetMode="External"/><Relationship Id="rId86" Type="http://schemas.openxmlformats.org/officeDocument/2006/relationships/hyperlink" Target="https://ens.dk/en/analyses-and-statistics/technology-data-energy-storage" TargetMode="External"/><Relationship Id="rId130" Type="http://schemas.openxmlformats.org/officeDocument/2006/relationships/hyperlink" Target="https://doi.org/10.1016/j.rser.2018.06.057" TargetMode="External"/><Relationship Id="rId135" Type="http://schemas.openxmlformats.org/officeDocument/2006/relationships/table" Target="../tables/table1.xml"/><Relationship Id="rId13" Type="http://schemas.openxmlformats.org/officeDocument/2006/relationships/hyperlink" Target="https://doi.org/10.1016/j.rser.2018.06.057" TargetMode="External"/><Relationship Id="rId18" Type="http://schemas.openxmlformats.org/officeDocument/2006/relationships/hyperlink" Target="https://doi.org/10.1016/j.rser.2021.110732" TargetMode="External"/><Relationship Id="rId39" Type="http://schemas.openxmlformats.org/officeDocument/2006/relationships/hyperlink" Target="https://www.solar-district-heating.eu/en/plant-database/" TargetMode="External"/><Relationship Id="rId109" Type="http://schemas.openxmlformats.org/officeDocument/2006/relationships/hyperlink" Target="https://www.euroheat.org/dhc/knowledge-hub/large-storage-systems-for-dhc-networks" TargetMode="External"/><Relationship Id="rId34" Type="http://schemas.openxmlformats.org/officeDocument/2006/relationships/hyperlink" Target="https://ens.dk/en/analyses-and-statistics/technology-data-energy-storage" TargetMode="External"/><Relationship Id="rId50" Type="http://schemas.openxmlformats.org/officeDocument/2006/relationships/hyperlink" Target="https://doi.org/10.1016/j.rser.2021.110732" TargetMode="External"/><Relationship Id="rId55" Type="http://schemas.openxmlformats.org/officeDocument/2006/relationships/hyperlink" Target="https://doi.org/10.1016/j.rser.2021.110732" TargetMode="External"/><Relationship Id="rId76" Type="http://schemas.openxmlformats.org/officeDocument/2006/relationships/hyperlink" Target="https://doi.org/10.1016/j.rser.2021.110732" TargetMode="External"/><Relationship Id="rId97" Type="http://schemas.openxmlformats.org/officeDocument/2006/relationships/hyperlink" Target="https://www.euroheat.org/dhc/knowledge-hub/large-storage-systems-for-dhc-networks" TargetMode="External"/><Relationship Id="rId104" Type="http://schemas.openxmlformats.org/officeDocument/2006/relationships/hyperlink" Target="https://www.euroheat.org/dhc/knowledge-hub/large-storage-systems-for-dhc-networks" TargetMode="External"/><Relationship Id="rId120" Type="http://schemas.openxmlformats.org/officeDocument/2006/relationships/hyperlink" Target="https://www.euroheat.org/dhc/knowledge-hub/large-storage-systems-for-dhc-networks" TargetMode="External"/><Relationship Id="rId125" Type="http://schemas.openxmlformats.org/officeDocument/2006/relationships/hyperlink" Target="https://doi.org/10.1016/j.rser.2018.06.057" TargetMode="External"/><Relationship Id="rId7" Type="http://schemas.openxmlformats.org/officeDocument/2006/relationships/hyperlink" Target="https://www.verenum.ch/Dokumente/2012_Mangold_Speicher.pdf" TargetMode="External"/><Relationship Id="rId71" Type="http://schemas.openxmlformats.org/officeDocument/2006/relationships/hyperlink" Target="https://doi.org/10.1016/j.rser.2021.110732" TargetMode="External"/><Relationship Id="rId92" Type="http://schemas.openxmlformats.org/officeDocument/2006/relationships/hyperlink" Target="https://doi.org/10.1115/1.4069122" TargetMode="External"/><Relationship Id="rId2" Type="http://schemas.openxmlformats.org/officeDocument/2006/relationships/hyperlink" Target="https://ens.dk/en/analyses-and-statistics/technology-data-energy-storage" TargetMode="External"/><Relationship Id="rId29" Type="http://schemas.openxmlformats.org/officeDocument/2006/relationships/hyperlink" Target="https://ens.dk/en/analyses-and-statistics/technology-data-energy-storage" TargetMode="External"/><Relationship Id="rId24" Type="http://schemas.openxmlformats.org/officeDocument/2006/relationships/hyperlink" Target="https://doi.org/10.1016/j.rser.2021.110732" TargetMode="External"/><Relationship Id="rId40" Type="http://schemas.openxmlformats.org/officeDocument/2006/relationships/hyperlink" Target="https://www.solar-district-heating.eu/en/plant-database/" TargetMode="External"/><Relationship Id="rId45" Type="http://schemas.openxmlformats.org/officeDocument/2006/relationships/hyperlink" Target="https://www.verenum.ch/Dokumente/2012_Mangold_Speicher.pdf" TargetMode="External"/><Relationship Id="rId66" Type="http://schemas.openxmlformats.org/officeDocument/2006/relationships/hyperlink" Target="https://www.solar-district-heating.eu/en/plant-database/" TargetMode="External"/><Relationship Id="rId87" Type="http://schemas.openxmlformats.org/officeDocument/2006/relationships/hyperlink" Target="https://ens.dk/en/analyses-and-statistics/technology-data-energy-storage" TargetMode="External"/><Relationship Id="rId110" Type="http://schemas.openxmlformats.org/officeDocument/2006/relationships/hyperlink" Target="https://www.euroheat.org/dhc/knowledge-hub/large-storage-systems-for-dhc-networks" TargetMode="External"/><Relationship Id="rId115" Type="http://schemas.openxmlformats.org/officeDocument/2006/relationships/hyperlink" Target="https://www.euroheat.org/dhc/knowledge-hub/large-storage-systems-for-dhc-networks" TargetMode="External"/><Relationship Id="rId131" Type="http://schemas.openxmlformats.org/officeDocument/2006/relationships/hyperlink" Target="https://doi.org/10.1115/1.4069122" TargetMode="External"/><Relationship Id="rId136" Type="http://schemas.openxmlformats.org/officeDocument/2006/relationships/table" Target="../tables/table2.xml"/><Relationship Id="rId61" Type="http://schemas.openxmlformats.org/officeDocument/2006/relationships/hyperlink" Target="https://doi.org/10.1016/j.rser.2021.110732" TargetMode="External"/><Relationship Id="rId82" Type="http://schemas.openxmlformats.org/officeDocument/2006/relationships/hyperlink" Target="https://ens.dk/en/analyses-and-statistics/technology-data-energy-storage" TargetMode="External"/><Relationship Id="rId19" Type="http://schemas.openxmlformats.org/officeDocument/2006/relationships/hyperlink" Target="https://www.saisonalspeicher.de/" TargetMode="External"/><Relationship Id="rId14" Type="http://schemas.openxmlformats.org/officeDocument/2006/relationships/hyperlink" Target="https://doi.org/10.1016/j.rser.2021.110732" TargetMode="External"/><Relationship Id="rId30" Type="http://schemas.openxmlformats.org/officeDocument/2006/relationships/hyperlink" Target="https://ens.dk/en/analyses-and-statistics/technology-data-energy-storage" TargetMode="External"/><Relationship Id="rId35" Type="http://schemas.openxmlformats.org/officeDocument/2006/relationships/hyperlink" Target="https://ens.dk/en/analyses-and-statistics/technology-data-energy-storage" TargetMode="External"/><Relationship Id="rId56" Type="http://schemas.openxmlformats.org/officeDocument/2006/relationships/hyperlink" Target="https://doi.org/10.1016/j.rser.2021.110732" TargetMode="External"/><Relationship Id="rId77" Type="http://schemas.openxmlformats.org/officeDocument/2006/relationships/hyperlink" Target="https://doi.org/10.1016/j.rser.2025.116202" TargetMode="External"/><Relationship Id="rId100" Type="http://schemas.openxmlformats.org/officeDocument/2006/relationships/hyperlink" Target="https://www.euroheat.org/dhc/knowledge-hub/large-storage-systems-for-dhc-networks" TargetMode="External"/><Relationship Id="rId105" Type="http://schemas.openxmlformats.org/officeDocument/2006/relationships/hyperlink" Target="https://www.euroheat.org/dhc/knowledge-hub/large-storage-systems-for-dhc-networks" TargetMode="External"/><Relationship Id="rId126" Type="http://schemas.openxmlformats.org/officeDocument/2006/relationships/hyperlink" Target="https://doi.org/10.1016/j.rser.2018.06.057" TargetMode="External"/><Relationship Id="rId8" Type="http://schemas.openxmlformats.org/officeDocument/2006/relationships/hyperlink" Target="https://www.verenum.ch/Dokumente/2012_Mangold_Speicher.pdf" TargetMode="External"/><Relationship Id="rId51" Type="http://schemas.openxmlformats.org/officeDocument/2006/relationships/hyperlink" Target="https://doi.org/10.1016/j.rser.2021.110732" TargetMode="External"/><Relationship Id="rId72" Type="http://schemas.openxmlformats.org/officeDocument/2006/relationships/hyperlink" Target="https://ens.dk/en/analyses-and-statistics/technology-data-energy-storage" TargetMode="External"/><Relationship Id="rId93" Type="http://schemas.openxmlformats.org/officeDocument/2006/relationships/hyperlink" Target="https://doi.org/10.1115/1.4069122" TargetMode="External"/><Relationship Id="rId98" Type="http://schemas.openxmlformats.org/officeDocument/2006/relationships/hyperlink" Target="https://www.euroheat.org/dhc/knowledge-hub/large-storage-systems-for-dhc-networks" TargetMode="External"/><Relationship Id="rId121" Type="http://schemas.openxmlformats.org/officeDocument/2006/relationships/hyperlink" Target="https://www.euroheat.org/dhc/knowledge-hub/large-storage-systems-for-dhc-networks" TargetMode="External"/><Relationship Id="rId3" Type="http://schemas.openxmlformats.org/officeDocument/2006/relationships/hyperlink" Target="https://doi.org/10.1016/j.apenergy.2023.121663" TargetMode="External"/><Relationship Id="rId25" Type="http://schemas.openxmlformats.org/officeDocument/2006/relationships/hyperlink" Target="https://doi.org/10.1016/j.rser.2021.110732" TargetMode="External"/><Relationship Id="rId46" Type="http://schemas.openxmlformats.org/officeDocument/2006/relationships/hyperlink" Target="https://www.verenum.ch/Dokumente/2012_Mangold_Speicher.pdf" TargetMode="External"/><Relationship Id="rId67" Type="http://schemas.openxmlformats.org/officeDocument/2006/relationships/hyperlink" Target="https://doi.org/10.1016/j.rser.2021.110732" TargetMode="External"/><Relationship Id="rId116" Type="http://schemas.openxmlformats.org/officeDocument/2006/relationships/hyperlink" Target="https://www.euroheat.org/dhc/knowledge-hub/large-storage-systems-for-dhc-networks" TargetMode="External"/><Relationship Id="rId137" Type="http://schemas.openxmlformats.org/officeDocument/2006/relationships/comments" Target="../comments1.xml"/><Relationship Id="rId20" Type="http://schemas.openxmlformats.org/officeDocument/2006/relationships/hyperlink" Target="https://www.solar-district-heating.eu/en/plant-database/" TargetMode="External"/><Relationship Id="rId41" Type="http://schemas.openxmlformats.org/officeDocument/2006/relationships/hyperlink" Target="https://meldorfwaerme.de/?page_id=30" TargetMode="External"/><Relationship Id="rId62" Type="http://schemas.openxmlformats.org/officeDocument/2006/relationships/hyperlink" Target="https://www.saisonalspeicher.de/" TargetMode="External"/><Relationship Id="rId83" Type="http://schemas.openxmlformats.org/officeDocument/2006/relationships/hyperlink" Target="https://ens.dk/en/analyses-and-statistics/technology-data-energy-storage" TargetMode="External"/><Relationship Id="rId88" Type="http://schemas.openxmlformats.org/officeDocument/2006/relationships/hyperlink" Target="https://ens.dk/en/analyses-and-statistics/technology-data-energy-storage" TargetMode="External"/><Relationship Id="rId111" Type="http://schemas.openxmlformats.org/officeDocument/2006/relationships/hyperlink" Target="https://www.euroheat.org/dhc/knowledge-hub/large-storage-systems-for-dhc-networks" TargetMode="External"/><Relationship Id="rId132" Type="http://schemas.openxmlformats.org/officeDocument/2006/relationships/printerSettings" Target="../printerSettings/printerSettings1.bin"/><Relationship Id="rId15" Type="http://schemas.openxmlformats.org/officeDocument/2006/relationships/hyperlink" Target="https://ens.dk/en/analyses-and-statistics/technology-data-energy-storage" TargetMode="External"/><Relationship Id="rId36" Type="http://schemas.openxmlformats.org/officeDocument/2006/relationships/hyperlink" Target="https://ens.dk/en/analyses-and-statistics/technology-data-energy-storage" TargetMode="External"/><Relationship Id="rId57" Type="http://schemas.openxmlformats.org/officeDocument/2006/relationships/hyperlink" Target="https://www.solar-district-heating.eu/en/plant-database/" TargetMode="External"/><Relationship Id="rId106" Type="http://schemas.openxmlformats.org/officeDocument/2006/relationships/hyperlink" Target="https://www.euroheat.org/dhc/knowledge-hub/large-storage-systems-for-dhc-networks" TargetMode="External"/><Relationship Id="rId127" Type="http://schemas.openxmlformats.org/officeDocument/2006/relationships/hyperlink" Target="https://doi.org/10.1016/j.rser.2025.116202" TargetMode="External"/><Relationship Id="rId10" Type="http://schemas.openxmlformats.org/officeDocument/2006/relationships/hyperlink" Target="https://web.archive.org/web/20200814120602/https:/www.solarthermalworld.org/sites/gstec/files/news/file/2016-05-28/iea-shc_task_52_stc1-classification_and_benchmarking_2016-03-31_report.pdf" TargetMode="External"/><Relationship Id="rId31" Type="http://schemas.openxmlformats.org/officeDocument/2006/relationships/hyperlink" Target="https://www.solar-district-heating.eu/en/plant-database/" TargetMode="External"/><Relationship Id="rId52" Type="http://schemas.openxmlformats.org/officeDocument/2006/relationships/hyperlink" Target="https://doi.org/10.1016/j.rser.2021.110732" TargetMode="External"/><Relationship Id="rId73" Type="http://schemas.openxmlformats.org/officeDocument/2006/relationships/hyperlink" Target="https://doi.org/10.1016/j.rser.2021.110732" TargetMode="External"/><Relationship Id="rId78" Type="http://schemas.openxmlformats.org/officeDocument/2006/relationships/hyperlink" Target="https://doi.org/10.1016/j.rser.2025.116202" TargetMode="External"/><Relationship Id="rId94" Type="http://schemas.openxmlformats.org/officeDocument/2006/relationships/hyperlink" Target="https://doi.org/10.1016/j.rser.2025.116202" TargetMode="External"/><Relationship Id="rId99" Type="http://schemas.openxmlformats.org/officeDocument/2006/relationships/hyperlink" Target="https://www.euroheat.org/dhc/knowledge-hub/large-storage-systems-for-dhc-networks" TargetMode="External"/><Relationship Id="rId101" Type="http://schemas.openxmlformats.org/officeDocument/2006/relationships/hyperlink" Target="https://www.euroheat.org/dhc/knowledge-hub/large-storage-systems-for-dhc-networks" TargetMode="External"/><Relationship Id="rId122" Type="http://schemas.openxmlformats.org/officeDocument/2006/relationships/hyperlink" Target="https://doi.org/10.1016/j.rser.2018.06.057" TargetMode="External"/><Relationship Id="rId4" Type="http://schemas.openxmlformats.org/officeDocument/2006/relationships/hyperlink" Target="https://doi.org/10.1016/j.apenergy.2023.121663" TargetMode="External"/><Relationship Id="rId9" Type="http://schemas.openxmlformats.org/officeDocument/2006/relationships/hyperlink" Target="https://web.archive.org/web/20200814120602/https:/www.solarthermalworld.org/sites/gstec/files/news/file/2016-05-28/iea-shc_task_52_stc1-classification_and_benchmarking_2016-03-31_report.pdf" TargetMode="External"/><Relationship Id="rId26" Type="http://schemas.openxmlformats.org/officeDocument/2006/relationships/hyperlink" Target="https://doi.org/10.1016/j.rser.2021.110732" TargetMode="External"/><Relationship Id="rId47" Type="http://schemas.openxmlformats.org/officeDocument/2006/relationships/hyperlink" Target="https://www.verenum.ch/Dokumente/2012_Mangold_Speicher.pdf" TargetMode="External"/><Relationship Id="rId68" Type="http://schemas.openxmlformats.org/officeDocument/2006/relationships/hyperlink" Target="https://www.saisonalspeicher.de/" TargetMode="External"/><Relationship Id="rId89" Type="http://schemas.openxmlformats.org/officeDocument/2006/relationships/hyperlink" Target="https://ens.dk/en/analyses-and-statistics/technology-data-energy-storage" TargetMode="External"/><Relationship Id="rId112" Type="http://schemas.openxmlformats.org/officeDocument/2006/relationships/hyperlink" Target="https://doi.org/10.1016/j.rser.2018.06.057" TargetMode="External"/><Relationship Id="rId13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ea-es.org/task-39/presentations-publications/" TargetMode="External"/><Relationship Id="rId3" Type="http://schemas.openxmlformats.org/officeDocument/2006/relationships/hyperlink" Target="https://speicher.aeesuisse.ch/wp-content/uploads/sites/15/2021/09/FESS_Fokusstudie_Saisonale_Waermespeicher.pdf" TargetMode="External"/><Relationship Id="rId7" Type="http://schemas.openxmlformats.org/officeDocument/2006/relationships/hyperlink" Target="https://iea-es.org/task-39/presentations-publications/" TargetMode="External"/><Relationship Id="rId12" Type="http://schemas.openxmlformats.org/officeDocument/2006/relationships/table" Target="../tables/table3.xml"/><Relationship Id="rId2" Type="http://schemas.openxmlformats.org/officeDocument/2006/relationships/hyperlink" Target="https://speicher.aeesuisse.ch/wp-content/uploads/sites/15/2021/09/FESS_Fokusstudie_Saisonale_Waermespeicher.pdf" TargetMode="External"/><Relationship Id="rId1" Type="http://schemas.openxmlformats.org/officeDocument/2006/relationships/hyperlink" Target="https://ens.dk/en/analyses-and-statistics/technology-data-energy-storage" TargetMode="External"/><Relationship Id="rId6" Type="http://schemas.openxmlformats.org/officeDocument/2006/relationships/hyperlink" Target="https://iea-es.org/task-39/presentations-publications/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https://speicher.aeesuisse.ch/wp-content/uploads/sites/15/2021/09/FESS_Fokusstudie_Saisonale_Waermespeicher.pdf" TargetMode="External"/><Relationship Id="rId10" Type="http://schemas.openxmlformats.org/officeDocument/2006/relationships/hyperlink" Target="https://ens.dk/en/analyses-and-statistics/technology-data-energy-storage" TargetMode="External"/><Relationship Id="rId4" Type="http://schemas.openxmlformats.org/officeDocument/2006/relationships/hyperlink" Target="https://speicher.aeesuisse.ch/wp-content/uploads/sites/15/2021/09/FESS_Fokusstudie_Saisonale_Waermespeicher.pdf" TargetMode="External"/><Relationship Id="rId9" Type="http://schemas.openxmlformats.org/officeDocument/2006/relationships/hyperlink" Target="https://iea-es.org/task-39/presentations-publications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hyperlink" Target="https://data-explorer.oecd.org/" TargetMode="External"/><Relationship Id="rId1" Type="http://schemas.openxmlformats.org/officeDocument/2006/relationships/hyperlink" Target="https://www.bfs.admin.ch/bfs/de/home/statistiken/katalog.assetdetail.36483228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070E4-93D2-4804-AF99-CC14598DF4F2}">
  <sheetPr codeName="Tabelle1"/>
  <dimension ref="A1:AQ230"/>
  <sheetViews>
    <sheetView tabSelected="1" topLeftCell="M164" zoomScale="55" zoomScaleNormal="55" workbookViewId="0">
      <selection activeCell="AH147" sqref="AH147"/>
    </sheetView>
  </sheetViews>
  <sheetFormatPr baseColWidth="10" defaultRowHeight="14.4" x14ac:dyDescent="0.3"/>
  <cols>
    <col min="1" max="1" width="5.33203125" customWidth="1"/>
    <col min="2" max="2" width="21" customWidth="1"/>
    <col min="3" max="3" width="15" bestFit="1" customWidth="1"/>
    <col min="4" max="4" width="9" bestFit="1" customWidth="1"/>
    <col min="5" max="5" width="12.21875" bestFit="1" customWidth="1"/>
    <col min="6" max="6" width="15.77734375" bestFit="1" customWidth="1"/>
    <col min="7" max="7" width="14.21875" bestFit="1" customWidth="1"/>
    <col min="8" max="8" width="20" bestFit="1" customWidth="1"/>
    <col min="9" max="9" width="21.88671875" bestFit="1" customWidth="1"/>
    <col min="10" max="10" width="20" bestFit="1" customWidth="1"/>
    <col min="11" max="11" width="22.44140625" bestFit="1" customWidth="1"/>
    <col min="12" max="12" width="20.21875" bestFit="1" customWidth="1"/>
    <col min="13" max="13" width="26.5546875" bestFit="1" customWidth="1"/>
    <col min="16" max="18" width="21.44140625" customWidth="1"/>
    <col min="19" max="19" width="23.44140625" customWidth="1"/>
    <col min="20" max="20" width="20.44140625" customWidth="1"/>
    <col min="22" max="25" width="17.44140625" customWidth="1"/>
    <col min="26" max="32" width="12.21875" customWidth="1"/>
    <col min="33" max="33" width="16.5546875" customWidth="1"/>
    <col min="34" max="34" width="12.109375" customWidth="1"/>
    <col min="48" max="48" width="13.6640625" customWidth="1"/>
    <col min="51" max="51" width="13.77734375" customWidth="1"/>
  </cols>
  <sheetData>
    <row r="1" spans="1:39" ht="46.2" x14ac:dyDescent="0.85">
      <c r="A1" s="103" t="s">
        <v>230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</row>
    <row r="2" spans="1:39" x14ac:dyDescent="0.3">
      <c r="G2" s="9"/>
    </row>
    <row r="3" spans="1:39" x14ac:dyDescent="0.3">
      <c r="B3" s="105" t="s">
        <v>29</v>
      </c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23"/>
      <c r="N3" s="23"/>
      <c r="O3" s="23"/>
      <c r="P3" s="23"/>
      <c r="Q3" s="23"/>
      <c r="R3" s="23"/>
      <c r="S3" s="23"/>
    </row>
    <row r="4" spans="1:39" ht="16.2" x14ac:dyDescent="0.3">
      <c r="B4" s="19" t="s">
        <v>162</v>
      </c>
      <c r="C4" s="19" t="s">
        <v>163</v>
      </c>
      <c r="D4" s="19" t="s">
        <v>164</v>
      </c>
      <c r="E4" s="19" t="s">
        <v>166</v>
      </c>
      <c r="F4" s="19" t="s">
        <v>151</v>
      </c>
      <c r="G4" s="19" t="s">
        <v>170</v>
      </c>
      <c r="H4" s="19" t="s">
        <v>161</v>
      </c>
      <c r="I4" s="19" t="s">
        <v>167</v>
      </c>
      <c r="J4" s="19" t="s">
        <v>205</v>
      </c>
      <c r="K4" s="19" t="s">
        <v>206</v>
      </c>
      <c r="L4" s="19" t="s">
        <v>207</v>
      </c>
      <c r="M4" s="24"/>
      <c r="N4" s="24"/>
      <c r="O4" s="24"/>
      <c r="P4" s="24"/>
      <c r="Q4" s="24"/>
    </row>
    <row r="5" spans="1:39" x14ac:dyDescent="0.3">
      <c r="B5" s="68" t="s">
        <v>189</v>
      </c>
      <c r="C5" s="69">
        <v>2003</v>
      </c>
      <c r="D5" s="69" t="s">
        <v>67</v>
      </c>
      <c r="E5" s="69">
        <v>10000</v>
      </c>
      <c r="F5" s="69">
        <v>230000</v>
      </c>
      <c r="G5" s="69" t="s">
        <v>37</v>
      </c>
      <c r="H5" s="88">
        <v>1.1804946268925114</v>
      </c>
      <c r="I5" s="69">
        <f t="shared" ref="I5:I17" si="0">F5/E5*H5</f>
        <v>27.151376418527761</v>
      </c>
      <c r="J5" s="95" t="s">
        <v>155</v>
      </c>
      <c r="K5" s="69"/>
      <c r="L5" s="69"/>
    </row>
    <row r="6" spans="1:39" x14ac:dyDescent="0.3">
      <c r="B6" s="71" t="s">
        <v>79</v>
      </c>
      <c r="C6" s="72">
        <v>1996</v>
      </c>
      <c r="D6" s="72" t="s">
        <v>67</v>
      </c>
      <c r="E6" s="72">
        <v>1500</v>
      </c>
      <c r="F6" s="72">
        <v>230000</v>
      </c>
      <c r="G6" s="72" t="s">
        <v>67</v>
      </c>
      <c r="H6" s="89">
        <v>1.8604484831115731</v>
      </c>
      <c r="I6" s="72">
        <f t="shared" si="0"/>
        <v>285.26876741044123</v>
      </c>
      <c r="J6" s="90" t="s">
        <v>251</v>
      </c>
      <c r="K6" s="90" t="s">
        <v>155</v>
      </c>
      <c r="L6" s="72"/>
    </row>
    <row r="7" spans="1:39" x14ac:dyDescent="0.3">
      <c r="B7" s="68" t="s">
        <v>15</v>
      </c>
      <c r="C7" s="69">
        <v>2008</v>
      </c>
      <c r="D7" s="69" t="s">
        <v>62</v>
      </c>
      <c r="E7" s="69">
        <v>3000</v>
      </c>
      <c r="F7" s="69">
        <v>508608.15</v>
      </c>
      <c r="G7" s="69" t="s">
        <v>37</v>
      </c>
      <c r="H7" s="88">
        <v>1.1804946268925114</v>
      </c>
      <c r="I7" s="69">
        <f t="shared" si="0"/>
        <v>200.13639608958019</v>
      </c>
      <c r="J7" s="95" t="s">
        <v>251</v>
      </c>
      <c r="K7" s="95" t="s">
        <v>250</v>
      </c>
      <c r="L7" s="95" t="s">
        <v>252</v>
      </c>
    </row>
    <row r="8" spans="1:39" x14ac:dyDescent="0.3">
      <c r="B8" s="71" t="s">
        <v>80</v>
      </c>
      <c r="C8" s="72">
        <v>1999</v>
      </c>
      <c r="D8" s="72" t="s">
        <v>62</v>
      </c>
      <c r="E8" s="72">
        <v>1500</v>
      </c>
      <c r="F8" s="72">
        <v>730849.57</v>
      </c>
      <c r="G8" s="72" t="s">
        <v>37</v>
      </c>
      <c r="H8" s="89">
        <v>1.1804946268925114</v>
      </c>
      <c r="I8" s="72">
        <f t="shared" si="0"/>
        <v>575.17599363446823</v>
      </c>
      <c r="J8" s="90" t="s">
        <v>251</v>
      </c>
      <c r="K8" s="90" t="s">
        <v>250</v>
      </c>
      <c r="L8" s="90" t="s">
        <v>264</v>
      </c>
    </row>
    <row r="9" spans="1:39" x14ac:dyDescent="0.3">
      <c r="B9" s="68" t="s">
        <v>6</v>
      </c>
      <c r="C9" s="69">
        <v>2000</v>
      </c>
      <c r="D9" s="69" t="s">
        <v>62</v>
      </c>
      <c r="E9" s="69">
        <v>5360</v>
      </c>
      <c r="F9" s="69">
        <v>840368.76</v>
      </c>
      <c r="G9" s="69" t="s">
        <v>37</v>
      </c>
      <c r="H9" s="88">
        <v>1.1804946268925114</v>
      </c>
      <c r="I9" s="69">
        <f t="shared" si="0"/>
        <v>185.08410555752283</v>
      </c>
      <c r="J9" s="95" t="s">
        <v>251</v>
      </c>
      <c r="K9" s="95" t="s">
        <v>250</v>
      </c>
      <c r="L9" s="69"/>
    </row>
    <row r="10" spans="1:39" x14ac:dyDescent="0.3">
      <c r="B10" s="71" t="s">
        <v>81</v>
      </c>
      <c r="C10" s="72">
        <v>2013</v>
      </c>
      <c r="D10" s="72" t="s">
        <v>82</v>
      </c>
      <c r="E10" s="72">
        <v>30350</v>
      </c>
      <c r="F10" s="72">
        <v>1764678.43</v>
      </c>
      <c r="G10" s="72" t="s">
        <v>37</v>
      </c>
      <c r="H10" s="89">
        <v>1.1804946268925114</v>
      </c>
      <c r="I10" s="72">
        <f t="shared" si="0"/>
        <v>68.638991921189884</v>
      </c>
      <c r="J10" s="90" t="s">
        <v>251</v>
      </c>
      <c r="K10" s="72"/>
      <c r="L10" s="72"/>
    </row>
    <row r="11" spans="1:39" x14ac:dyDescent="0.3">
      <c r="B11" s="68" t="s">
        <v>9</v>
      </c>
      <c r="C11" s="69">
        <v>2014</v>
      </c>
      <c r="D11" s="69" t="s">
        <v>67</v>
      </c>
      <c r="E11" s="69">
        <v>60000</v>
      </c>
      <c r="F11" s="69">
        <v>2378446.98</v>
      </c>
      <c r="G11" s="69" t="s">
        <v>37</v>
      </c>
      <c r="H11" s="88">
        <v>1.1804946268925114</v>
      </c>
      <c r="I11" s="69">
        <f t="shared" si="0"/>
        <v>46.795731337312006</v>
      </c>
      <c r="J11" s="95" t="s">
        <v>251</v>
      </c>
      <c r="K11" s="95" t="s">
        <v>155</v>
      </c>
      <c r="L11" s="95" t="s">
        <v>252</v>
      </c>
    </row>
    <row r="12" spans="1:39" x14ac:dyDescent="0.3">
      <c r="B12" s="71" t="s">
        <v>153</v>
      </c>
      <c r="C12" s="72">
        <v>2013</v>
      </c>
      <c r="D12" s="72" t="s">
        <v>67</v>
      </c>
      <c r="E12" s="72">
        <v>75000</v>
      </c>
      <c r="F12" s="72">
        <v>2744814.7</v>
      </c>
      <c r="G12" s="72" t="s">
        <v>37</v>
      </c>
      <c r="H12" s="89">
        <v>1.1804946268925114</v>
      </c>
      <c r="I12" s="72">
        <f t="shared" si="0"/>
        <v>43.203186735541074</v>
      </c>
      <c r="J12" s="90" t="s">
        <v>251</v>
      </c>
      <c r="K12" s="90" t="s">
        <v>155</v>
      </c>
      <c r="L12" s="72"/>
    </row>
    <row r="13" spans="1:39" x14ac:dyDescent="0.3">
      <c r="B13" s="68" t="s">
        <v>157</v>
      </c>
      <c r="C13" s="69">
        <v>2025</v>
      </c>
      <c r="D13" s="69" t="s">
        <v>62</v>
      </c>
      <c r="E13" s="69">
        <v>26600</v>
      </c>
      <c r="F13" s="69">
        <v>3458000</v>
      </c>
      <c r="G13" s="69" t="s">
        <v>37</v>
      </c>
      <c r="H13" s="88">
        <v>0.95432497461390742</v>
      </c>
      <c r="I13" s="69">
        <f t="shared" si="0"/>
        <v>124.06224669980796</v>
      </c>
      <c r="J13" s="95" t="s">
        <v>261</v>
      </c>
      <c r="K13" s="95" t="s">
        <v>263</v>
      </c>
      <c r="L13" s="69"/>
    </row>
    <row r="14" spans="1:39" x14ac:dyDescent="0.3">
      <c r="B14" s="71" t="s">
        <v>154</v>
      </c>
      <c r="C14" s="72">
        <v>2017</v>
      </c>
      <c r="D14" s="72" t="s">
        <v>67</v>
      </c>
      <c r="E14" s="72">
        <v>85000</v>
      </c>
      <c r="F14" s="72">
        <v>4110000</v>
      </c>
      <c r="G14" s="72" t="s">
        <v>37</v>
      </c>
      <c r="H14" s="89">
        <v>1.1960428085442292</v>
      </c>
      <c r="I14" s="72">
        <f t="shared" si="0"/>
        <v>57.832187566079789</v>
      </c>
      <c r="J14" s="90" t="s">
        <v>155</v>
      </c>
      <c r="K14" s="90" t="s">
        <v>252</v>
      </c>
      <c r="L14" s="72"/>
    </row>
    <row r="15" spans="1:39" x14ac:dyDescent="0.3">
      <c r="B15" s="68" t="s">
        <v>14</v>
      </c>
      <c r="C15" s="69">
        <v>2015</v>
      </c>
      <c r="D15" s="69" t="s">
        <v>67</v>
      </c>
      <c r="E15" s="69">
        <v>125000</v>
      </c>
      <c r="F15" s="69">
        <v>4320000</v>
      </c>
      <c r="G15" s="69" t="s">
        <v>37</v>
      </c>
      <c r="H15" s="88">
        <v>1.1492425325396347</v>
      </c>
      <c r="I15" s="69">
        <f t="shared" si="0"/>
        <v>39.717821924569776</v>
      </c>
      <c r="J15" s="95" t="s">
        <v>155</v>
      </c>
      <c r="K15" s="95" t="s">
        <v>252</v>
      </c>
      <c r="L15" s="69"/>
    </row>
    <row r="16" spans="1:39" x14ac:dyDescent="0.3">
      <c r="B16" s="71" t="s">
        <v>12</v>
      </c>
      <c r="C16" s="72">
        <v>2015</v>
      </c>
      <c r="D16" s="72" t="s">
        <v>67</v>
      </c>
      <c r="E16" s="72">
        <v>210000</v>
      </c>
      <c r="F16" s="72">
        <v>5010000</v>
      </c>
      <c r="G16" s="72" t="s">
        <v>37</v>
      </c>
      <c r="H16" s="89">
        <v>1.1492425325396347</v>
      </c>
      <c r="I16" s="72">
        <f t="shared" si="0"/>
        <v>27.417643276302716</v>
      </c>
      <c r="J16" s="90" t="s">
        <v>155</v>
      </c>
      <c r="K16" s="90" t="s">
        <v>252</v>
      </c>
      <c r="L16" s="72"/>
    </row>
    <row r="17" spans="2:17" x14ac:dyDescent="0.3">
      <c r="B17" s="68" t="s">
        <v>8</v>
      </c>
      <c r="C17" s="69">
        <v>2022</v>
      </c>
      <c r="D17" s="69" t="s">
        <v>67</v>
      </c>
      <c r="E17" s="69">
        <v>70000</v>
      </c>
      <c r="F17" s="69">
        <v>6000000</v>
      </c>
      <c r="G17" s="69" t="s">
        <v>37</v>
      </c>
      <c r="H17" s="88">
        <v>1.0393778187279816</v>
      </c>
      <c r="I17" s="69">
        <f t="shared" si="0"/>
        <v>89.089527319541276</v>
      </c>
      <c r="J17" s="95" t="s">
        <v>155</v>
      </c>
      <c r="K17" s="69"/>
      <c r="L17" s="69"/>
    </row>
    <row r="18" spans="2:17" x14ac:dyDescent="0.3">
      <c r="B18" s="71" t="s">
        <v>25</v>
      </c>
      <c r="C18" s="72"/>
      <c r="D18" s="72" t="s">
        <v>62</v>
      </c>
      <c r="E18" s="72">
        <v>800</v>
      </c>
      <c r="F18" s="72">
        <f>E18*I18</f>
        <v>250573.42409891597</v>
      </c>
      <c r="G18" s="72" t="s">
        <v>37</v>
      </c>
      <c r="H18" s="89">
        <v>1.2784358372393672</v>
      </c>
      <c r="I18" s="72">
        <f>245*H18</f>
        <v>313.21678012364498</v>
      </c>
      <c r="J18" s="90" t="s">
        <v>251</v>
      </c>
      <c r="K18" s="72"/>
      <c r="L18" s="72" t="s">
        <v>173</v>
      </c>
      <c r="M18" s="25"/>
      <c r="N18" s="25"/>
      <c r="O18" s="25"/>
      <c r="P18" s="25"/>
      <c r="Q18" s="25"/>
    </row>
    <row r="19" spans="2:17" x14ac:dyDescent="0.3">
      <c r="B19" s="68" t="s">
        <v>165</v>
      </c>
      <c r="C19" s="69">
        <v>2022</v>
      </c>
      <c r="D19" s="69" t="s">
        <v>62</v>
      </c>
      <c r="E19" s="69">
        <v>43000</v>
      </c>
      <c r="F19" s="69">
        <v>7740000</v>
      </c>
      <c r="G19" s="69" t="s">
        <v>37</v>
      </c>
      <c r="H19" s="88">
        <v>0.95432497461390742</v>
      </c>
      <c r="I19" s="69">
        <f>F19/E19*H19</f>
        <v>171.77849543050334</v>
      </c>
      <c r="J19" s="95" t="s">
        <v>262</v>
      </c>
      <c r="K19" s="95" t="s">
        <v>263</v>
      </c>
      <c r="L19" s="69"/>
      <c r="M19" s="25"/>
      <c r="N19" s="25"/>
      <c r="O19" s="25"/>
      <c r="P19" s="25"/>
      <c r="Q19" s="25"/>
    </row>
    <row r="22" spans="2:17" x14ac:dyDescent="0.3">
      <c r="M22" s="23"/>
      <c r="N22" s="23"/>
      <c r="O22" s="23"/>
      <c r="P22" s="23"/>
      <c r="Q22" s="23"/>
    </row>
    <row r="23" spans="2:17" x14ac:dyDescent="0.3">
      <c r="B23" s="106" t="s">
        <v>30</v>
      </c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24"/>
      <c r="N23" s="24"/>
      <c r="O23" s="24"/>
      <c r="P23" s="24"/>
      <c r="Q23" s="24"/>
    </row>
    <row r="24" spans="2:17" x14ac:dyDescent="0.3">
      <c r="B24" s="20" t="s">
        <v>162</v>
      </c>
      <c r="C24" s="20" t="s">
        <v>163</v>
      </c>
      <c r="D24" s="20" t="s">
        <v>164</v>
      </c>
      <c r="E24" s="20" t="s">
        <v>168</v>
      </c>
      <c r="F24" s="20" t="s">
        <v>151</v>
      </c>
      <c r="G24" s="20" t="s">
        <v>170</v>
      </c>
      <c r="H24" s="20" t="s">
        <v>161</v>
      </c>
      <c r="I24" s="20" t="s">
        <v>169</v>
      </c>
      <c r="J24" s="20" t="s">
        <v>205</v>
      </c>
      <c r="K24" s="20" t="s">
        <v>206</v>
      </c>
      <c r="L24" s="20" t="s">
        <v>207</v>
      </c>
    </row>
    <row r="25" spans="2:17" x14ac:dyDescent="0.3">
      <c r="B25" s="68" t="s">
        <v>59</v>
      </c>
      <c r="C25" s="69">
        <v>2017</v>
      </c>
      <c r="D25" s="69" t="s">
        <v>68</v>
      </c>
      <c r="E25" s="87">
        <v>0.3</v>
      </c>
      <c r="F25" s="69">
        <v>936.37</v>
      </c>
      <c r="G25" s="69" t="s">
        <v>37</v>
      </c>
      <c r="H25" s="88">
        <v>1.1804946268925114</v>
      </c>
      <c r="I25" s="69">
        <f t="shared" ref="I25:I30" si="1">F25/E25*H25</f>
        <v>3684.5991792778032</v>
      </c>
      <c r="J25" s="95" t="s">
        <v>251</v>
      </c>
      <c r="K25" s="69"/>
      <c r="L25" s="69"/>
    </row>
    <row r="26" spans="2:17" x14ac:dyDescent="0.3">
      <c r="B26" s="71" t="s">
        <v>59</v>
      </c>
      <c r="C26" s="72">
        <v>2017</v>
      </c>
      <c r="D26" s="72" t="s">
        <v>68</v>
      </c>
      <c r="E26" s="72">
        <v>3</v>
      </c>
      <c r="F26" s="72">
        <v>14565.77</v>
      </c>
      <c r="G26" s="72" t="s">
        <v>37</v>
      </c>
      <c r="H26" s="89">
        <v>1.1804946268925114</v>
      </c>
      <c r="I26" s="72">
        <f t="shared" si="1"/>
        <v>5731.6044071840461</v>
      </c>
      <c r="J26" s="90" t="s">
        <v>251</v>
      </c>
      <c r="K26" s="72"/>
      <c r="L26" s="72"/>
    </row>
    <row r="27" spans="2:17" x14ac:dyDescent="0.3">
      <c r="B27" s="68" t="s">
        <v>58</v>
      </c>
      <c r="C27" s="69">
        <v>2017</v>
      </c>
      <c r="D27" s="69" t="s">
        <v>67</v>
      </c>
      <c r="E27" s="87">
        <v>0.255</v>
      </c>
      <c r="F27" s="69">
        <v>1387.05</v>
      </c>
      <c r="G27" s="69" t="s">
        <v>37</v>
      </c>
      <c r="H27" s="88">
        <v>1.1804946268925114</v>
      </c>
      <c r="I27" s="69">
        <f t="shared" si="1"/>
        <v>6421.1963616912071</v>
      </c>
      <c r="J27" s="95" t="s">
        <v>251</v>
      </c>
      <c r="K27" s="69"/>
      <c r="L27" s="69"/>
    </row>
    <row r="28" spans="2:17" x14ac:dyDescent="0.3">
      <c r="B28" s="71" t="s">
        <v>61</v>
      </c>
      <c r="C28" s="72">
        <v>2021</v>
      </c>
      <c r="D28" s="72" t="s">
        <v>56</v>
      </c>
      <c r="E28" s="72">
        <v>121100</v>
      </c>
      <c r="F28" s="72">
        <v>19400000</v>
      </c>
      <c r="G28" s="72" t="s">
        <v>37</v>
      </c>
      <c r="H28" s="89">
        <v>1.1804946268925114</v>
      </c>
      <c r="I28" s="72">
        <f t="shared" si="1"/>
        <v>189.11309464669463</v>
      </c>
      <c r="J28" s="90" t="s">
        <v>251</v>
      </c>
      <c r="K28" s="72"/>
      <c r="L28" s="72"/>
    </row>
    <row r="29" spans="2:17" x14ac:dyDescent="0.3">
      <c r="B29" s="68" t="s">
        <v>59</v>
      </c>
      <c r="C29" s="69">
        <v>2018</v>
      </c>
      <c r="D29" s="69" t="s">
        <v>68</v>
      </c>
      <c r="E29" s="69">
        <v>200</v>
      </c>
      <c r="F29" s="69">
        <v>21625.91</v>
      </c>
      <c r="G29" s="69" t="s">
        <v>37</v>
      </c>
      <c r="H29" s="88">
        <v>1.1804946268925114</v>
      </c>
      <c r="I29" s="69">
        <f t="shared" si="1"/>
        <v>127.64635278330515</v>
      </c>
      <c r="J29" s="95" t="s">
        <v>251</v>
      </c>
      <c r="K29" s="69"/>
      <c r="L29" s="69"/>
    </row>
    <row r="30" spans="2:17" x14ac:dyDescent="0.3">
      <c r="B30" s="71" t="s">
        <v>60</v>
      </c>
      <c r="C30" s="72">
        <v>2017</v>
      </c>
      <c r="D30" s="72" t="s">
        <v>69</v>
      </c>
      <c r="E30" s="72">
        <v>2000</v>
      </c>
      <c r="F30" s="72">
        <v>280372.90999999997</v>
      </c>
      <c r="G30" s="72" t="s">
        <v>37</v>
      </c>
      <c r="H30" s="89">
        <v>1.1804946268925114</v>
      </c>
      <c r="I30" s="72">
        <f t="shared" si="1"/>
        <v>165.48935689060883</v>
      </c>
      <c r="J30" s="90" t="s">
        <v>251</v>
      </c>
      <c r="K30" s="72"/>
      <c r="L30" s="72"/>
      <c r="M30" s="25"/>
      <c r="N30" s="25"/>
      <c r="O30" s="25"/>
      <c r="P30" s="25"/>
      <c r="Q30" s="25"/>
    </row>
    <row r="31" spans="2:17" x14ac:dyDescent="0.3">
      <c r="B31" s="68" t="s">
        <v>23</v>
      </c>
      <c r="C31" s="69">
        <v>2000</v>
      </c>
      <c r="D31" s="69" t="s">
        <v>62</v>
      </c>
      <c r="E31" s="69">
        <v>2750</v>
      </c>
      <c r="F31" s="69">
        <v>887897.49</v>
      </c>
      <c r="G31" s="69" t="s">
        <v>37</v>
      </c>
      <c r="H31" s="88">
        <v>1.1804946268925114</v>
      </c>
      <c r="I31" s="69">
        <v>306.82460093744811</v>
      </c>
      <c r="J31" s="95" t="s">
        <v>253</v>
      </c>
      <c r="K31" s="95" t="s">
        <v>251</v>
      </c>
      <c r="L31" s="95" t="s">
        <v>252</v>
      </c>
      <c r="M31" s="25"/>
      <c r="N31" s="25"/>
      <c r="O31" s="25"/>
      <c r="P31" s="25"/>
      <c r="Q31" s="25"/>
    </row>
    <row r="32" spans="2:17" x14ac:dyDescent="0.3">
      <c r="B32" s="71" t="s">
        <v>152</v>
      </c>
      <c r="C32" s="72">
        <v>1996</v>
      </c>
      <c r="D32" s="72" t="s">
        <v>62</v>
      </c>
      <c r="E32" s="72">
        <v>4500</v>
      </c>
      <c r="F32" s="72">
        <v>960460</v>
      </c>
      <c r="G32" s="72" t="s">
        <v>62</v>
      </c>
      <c r="H32" s="89">
        <v>1.904404521514826</v>
      </c>
      <c r="I32" s="72">
        <v>268.47152582026712</v>
      </c>
      <c r="J32" s="90" t="s">
        <v>253</v>
      </c>
      <c r="K32" s="90" t="s">
        <v>250</v>
      </c>
      <c r="L32" s="72"/>
      <c r="M32" s="25"/>
      <c r="N32" s="25"/>
      <c r="O32" s="25"/>
      <c r="P32" s="25"/>
      <c r="Q32" s="25"/>
    </row>
    <row r="33" spans="2:19" x14ac:dyDescent="0.3">
      <c r="B33" s="68" t="s">
        <v>57</v>
      </c>
      <c r="C33" s="69">
        <v>2007</v>
      </c>
      <c r="D33" s="69" t="s">
        <v>62</v>
      </c>
      <c r="E33" s="69">
        <v>5700</v>
      </c>
      <c r="F33" s="69">
        <v>1038209.01</v>
      </c>
      <c r="G33" s="69" t="s">
        <v>37</v>
      </c>
      <c r="H33" s="88">
        <v>1.1804946268925114</v>
      </c>
      <c r="I33" s="69">
        <v>191.76537558590508</v>
      </c>
      <c r="J33" s="95" t="s">
        <v>253</v>
      </c>
      <c r="K33" s="95" t="s">
        <v>251</v>
      </c>
      <c r="L33" s="95" t="s">
        <v>252</v>
      </c>
      <c r="M33" s="25"/>
      <c r="N33" s="25"/>
      <c r="O33" s="25"/>
      <c r="P33" s="25"/>
      <c r="Q33" s="25"/>
    </row>
    <row r="34" spans="2:19" x14ac:dyDescent="0.3">
      <c r="B34" s="71" t="s">
        <v>26</v>
      </c>
      <c r="C34" s="72">
        <v>1996</v>
      </c>
      <c r="D34" s="72" t="s">
        <v>62</v>
      </c>
      <c r="E34" s="72">
        <v>12000</v>
      </c>
      <c r="F34" s="72">
        <v>1351642</v>
      </c>
      <c r="G34" s="72" t="s">
        <v>62</v>
      </c>
      <c r="H34" s="89">
        <v>1.904404521514826</v>
      </c>
      <c r="I34" s="72">
        <v>147.02012128252721</v>
      </c>
      <c r="J34" s="90" t="s">
        <v>253</v>
      </c>
      <c r="K34" s="90" t="s">
        <v>251</v>
      </c>
      <c r="L34" s="90" t="s">
        <v>250</v>
      </c>
      <c r="M34" s="25"/>
      <c r="N34" s="25"/>
      <c r="O34" s="25"/>
      <c r="P34" s="25"/>
      <c r="Q34" s="25"/>
    </row>
    <row r="35" spans="2:19" x14ac:dyDescent="0.3">
      <c r="B35" s="68" t="s">
        <v>172</v>
      </c>
      <c r="C35" s="69"/>
      <c r="D35" s="69" t="s">
        <v>62</v>
      </c>
      <c r="E35" s="69">
        <v>300</v>
      </c>
      <c r="F35" s="69"/>
      <c r="G35" s="69" t="s">
        <v>37</v>
      </c>
      <c r="H35" s="88">
        <v>1.2784358372393672</v>
      </c>
      <c r="I35" s="69">
        <v>600.86484350250259</v>
      </c>
      <c r="J35" s="95" t="s">
        <v>253</v>
      </c>
      <c r="K35" s="69"/>
      <c r="L35" s="69"/>
      <c r="M35" s="25"/>
      <c r="N35" s="25"/>
      <c r="O35" s="25"/>
      <c r="P35" s="25"/>
      <c r="Q35" s="25"/>
    </row>
    <row r="36" spans="2:19" x14ac:dyDescent="0.3">
      <c r="B36" s="71" t="s">
        <v>171</v>
      </c>
      <c r="C36" s="72"/>
      <c r="D36" s="72" t="s">
        <v>62</v>
      </c>
      <c r="E36" s="72">
        <v>700</v>
      </c>
      <c r="F36" s="72"/>
      <c r="G36" s="72" t="s">
        <v>37</v>
      </c>
      <c r="H36" s="89">
        <v>1.2784358372393672</v>
      </c>
      <c r="I36" s="72">
        <v>575.29612675771523</v>
      </c>
      <c r="J36" s="90" t="s">
        <v>253</v>
      </c>
      <c r="K36" s="72"/>
      <c r="L36" s="72"/>
      <c r="M36" s="25"/>
      <c r="N36" s="25"/>
      <c r="O36" s="25"/>
      <c r="P36" s="25"/>
      <c r="Q36" s="25"/>
    </row>
    <row r="37" spans="2:19" ht="14.4" customHeight="1" x14ac:dyDescent="0.3">
      <c r="B37" s="68" t="s">
        <v>19</v>
      </c>
      <c r="C37" s="69"/>
      <c r="D37" s="69" t="s">
        <v>62</v>
      </c>
      <c r="E37" s="69">
        <v>600</v>
      </c>
      <c r="F37" s="69"/>
      <c r="G37" s="69" t="s">
        <v>37</v>
      </c>
      <c r="H37" s="88">
        <v>1.2784358372393672</v>
      </c>
      <c r="I37" s="69">
        <v>613.64920187489622</v>
      </c>
      <c r="J37" s="95" t="s">
        <v>253</v>
      </c>
      <c r="K37" s="69"/>
      <c r="L37" s="69"/>
      <c r="M37" s="25"/>
      <c r="N37" s="25"/>
      <c r="O37" s="25"/>
      <c r="P37" s="25"/>
      <c r="Q37" s="25"/>
    </row>
    <row r="38" spans="2:19" ht="14.4" customHeight="1" x14ac:dyDescent="0.3">
      <c r="B38" s="71" t="s">
        <v>245</v>
      </c>
      <c r="C38" s="72">
        <v>2013</v>
      </c>
      <c r="D38" s="72" t="s">
        <v>62</v>
      </c>
      <c r="E38" s="72">
        <v>43000</v>
      </c>
      <c r="F38" s="72">
        <v>8400000</v>
      </c>
      <c r="G38" s="72" t="s">
        <v>37</v>
      </c>
      <c r="H38" s="89">
        <v>1.0393778187279816</v>
      </c>
      <c r="I38" s="72">
        <f>F38/E38*H38</f>
        <v>203.04124830965222</v>
      </c>
      <c r="J38" s="90" t="s">
        <v>228</v>
      </c>
      <c r="K38" s="72"/>
      <c r="L38" s="72"/>
      <c r="M38" s="25"/>
      <c r="N38" s="25"/>
      <c r="O38" s="25"/>
      <c r="P38" s="25"/>
      <c r="Q38" s="25"/>
    </row>
    <row r="39" spans="2:19" ht="14.4" customHeight="1" x14ac:dyDescent="0.3">
      <c r="B39" s="104" t="s">
        <v>176</v>
      </c>
      <c r="C39" s="69"/>
      <c r="D39" s="69"/>
      <c r="E39" s="69">
        <v>200</v>
      </c>
      <c r="F39" s="69"/>
      <c r="G39" s="69"/>
      <c r="H39" s="88">
        <v>1.1960428085442292</v>
      </c>
      <c r="I39" s="69">
        <v>645.86311661388379</v>
      </c>
      <c r="J39" s="95" t="s">
        <v>47</v>
      </c>
      <c r="K39" s="69"/>
      <c r="L39" s="69"/>
      <c r="M39" s="25"/>
      <c r="N39" s="25"/>
      <c r="O39" s="25"/>
      <c r="P39" s="25"/>
      <c r="Q39" s="25"/>
    </row>
    <row r="40" spans="2:19" x14ac:dyDescent="0.3">
      <c r="B40" s="104"/>
      <c r="C40" s="72"/>
      <c r="D40" s="72"/>
      <c r="E40" s="72">
        <v>400</v>
      </c>
      <c r="F40" s="72"/>
      <c r="G40" s="72"/>
      <c r="H40" s="89">
        <v>1.1960428085442292</v>
      </c>
      <c r="I40" s="72">
        <v>478.41712341769164</v>
      </c>
      <c r="J40" s="90" t="s">
        <v>47</v>
      </c>
      <c r="K40" s="72"/>
      <c r="L40" s="72"/>
      <c r="M40" s="25"/>
      <c r="N40" s="25"/>
      <c r="O40" s="25"/>
      <c r="P40" s="25"/>
      <c r="Q40" s="25"/>
    </row>
    <row r="41" spans="2:19" x14ac:dyDescent="0.3">
      <c r="B41" s="104"/>
      <c r="C41" s="69"/>
      <c r="D41" s="69"/>
      <c r="E41" s="69">
        <v>1000</v>
      </c>
      <c r="F41" s="69"/>
      <c r="G41" s="69"/>
      <c r="H41" s="88">
        <v>1.1960428085442292</v>
      </c>
      <c r="I41" s="69">
        <v>281.07006000789386</v>
      </c>
      <c r="J41" s="95" t="s">
        <v>47</v>
      </c>
      <c r="K41" s="69"/>
      <c r="L41" s="69"/>
      <c r="M41" s="25"/>
      <c r="N41" s="25"/>
      <c r="O41" s="25"/>
      <c r="P41" s="25"/>
      <c r="Q41" s="25"/>
    </row>
    <row r="42" spans="2:19" x14ac:dyDescent="0.3">
      <c r="B42" s="104"/>
      <c r="C42" s="72"/>
      <c r="D42" s="72"/>
      <c r="E42" s="72">
        <v>1200</v>
      </c>
      <c r="F42" s="72"/>
      <c r="G42" s="72"/>
      <c r="H42" s="89">
        <v>1.1960428085442292</v>
      </c>
      <c r="I42" s="72">
        <v>275.08984596517269</v>
      </c>
      <c r="J42" s="90" t="s">
        <v>47</v>
      </c>
      <c r="K42" s="72"/>
      <c r="L42" s="72"/>
      <c r="M42" s="25"/>
      <c r="N42" s="25"/>
      <c r="O42" s="25"/>
      <c r="P42" s="25"/>
      <c r="Q42" s="25"/>
      <c r="R42" s="25"/>
      <c r="S42" s="25"/>
    </row>
    <row r="43" spans="2:19" x14ac:dyDescent="0.3">
      <c r="B43" s="104"/>
      <c r="C43" s="69"/>
      <c r="D43" s="69"/>
      <c r="E43" s="69">
        <v>1500</v>
      </c>
      <c r="F43" s="69"/>
      <c r="G43" s="69"/>
      <c r="H43" s="88">
        <v>1.1960428085442292</v>
      </c>
      <c r="I43" s="69">
        <v>346.85241447782647</v>
      </c>
      <c r="J43" s="95" t="s">
        <v>47</v>
      </c>
      <c r="K43" s="69"/>
      <c r="L43" s="69"/>
      <c r="M43" s="25"/>
      <c r="N43" s="25"/>
      <c r="O43" s="25"/>
      <c r="P43" s="25"/>
      <c r="Q43" s="25"/>
      <c r="R43" s="25"/>
      <c r="S43" s="25"/>
    </row>
    <row r="44" spans="2:19" x14ac:dyDescent="0.3">
      <c r="B44" s="104"/>
      <c r="C44" s="72"/>
      <c r="D44" s="72"/>
      <c r="E44" s="72">
        <v>1500</v>
      </c>
      <c r="F44" s="72"/>
      <c r="G44" s="72"/>
      <c r="H44" s="89">
        <v>1.1960428085442292</v>
      </c>
      <c r="I44" s="72">
        <v>239.20856170884582</v>
      </c>
      <c r="J44" s="90" t="s">
        <v>47</v>
      </c>
      <c r="K44" s="72"/>
      <c r="L44" s="72"/>
      <c r="M44" s="25"/>
      <c r="N44" s="25"/>
      <c r="O44" s="25"/>
      <c r="P44" s="25"/>
      <c r="Q44" s="25"/>
      <c r="R44" s="25"/>
      <c r="S44" s="25"/>
    </row>
    <row r="45" spans="2:19" x14ac:dyDescent="0.3">
      <c r="B45" s="104"/>
      <c r="C45" s="69"/>
      <c r="D45" s="69"/>
      <c r="E45" s="69">
        <v>2000</v>
      </c>
      <c r="F45" s="69"/>
      <c r="G45" s="69"/>
      <c r="H45" s="88">
        <v>1.1960428085442292</v>
      </c>
      <c r="I45" s="69">
        <v>215.28770553796124</v>
      </c>
      <c r="J45" s="95" t="s">
        <v>47</v>
      </c>
      <c r="K45" s="69"/>
      <c r="L45" s="69"/>
      <c r="M45" s="25"/>
      <c r="N45" s="25"/>
      <c r="O45" s="25"/>
      <c r="P45" s="25"/>
      <c r="Q45" s="25"/>
      <c r="R45" s="25"/>
      <c r="S45" s="25"/>
    </row>
    <row r="46" spans="2:19" x14ac:dyDescent="0.3">
      <c r="B46" s="104"/>
      <c r="C46" s="72"/>
      <c r="D46" s="72"/>
      <c r="E46" s="72">
        <v>2000</v>
      </c>
      <c r="F46" s="72"/>
      <c r="G46" s="72"/>
      <c r="H46" s="89">
        <v>1.1960428085442292</v>
      </c>
      <c r="I46" s="72">
        <v>197.34706340979781</v>
      </c>
      <c r="J46" s="90" t="s">
        <v>47</v>
      </c>
      <c r="K46" s="72"/>
      <c r="L46" s="72"/>
      <c r="M46" s="25"/>
      <c r="N46" s="25"/>
      <c r="O46" s="25"/>
      <c r="P46" s="25"/>
      <c r="Q46" s="25"/>
      <c r="R46" s="25"/>
      <c r="S46" s="25"/>
    </row>
    <row r="47" spans="2:19" x14ac:dyDescent="0.3">
      <c r="B47" s="104"/>
      <c r="C47" s="69"/>
      <c r="D47" s="69"/>
      <c r="E47" s="69">
        <v>2500</v>
      </c>
      <c r="F47" s="69"/>
      <c r="G47" s="69"/>
      <c r="H47" s="88">
        <v>1.1960428085442292</v>
      </c>
      <c r="I47" s="69">
        <v>203.32727745251896</v>
      </c>
      <c r="J47" s="95" t="s">
        <v>47</v>
      </c>
      <c r="K47" s="69"/>
      <c r="L47" s="69"/>
      <c r="M47" s="25"/>
      <c r="N47" s="25"/>
      <c r="O47" s="25"/>
      <c r="P47" s="25"/>
      <c r="Q47" s="25"/>
      <c r="R47" s="25"/>
      <c r="S47" s="25"/>
    </row>
    <row r="48" spans="2:19" x14ac:dyDescent="0.3">
      <c r="B48" s="104"/>
      <c r="C48" s="72"/>
      <c r="D48" s="72"/>
      <c r="E48" s="72">
        <v>3000</v>
      </c>
      <c r="F48" s="72"/>
      <c r="G48" s="72"/>
      <c r="H48" s="89">
        <v>1.1960428085442292</v>
      </c>
      <c r="I48" s="72">
        <v>179.40642128163438</v>
      </c>
      <c r="J48" s="90" t="s">
        <v>47</v>
      </c>
      <c r="K48" s="72"/>
      <c r="L48" s="72"/>
      <c r="M48" s="25"/>
      <c r="N48" s="25"/>
      <c r="O48" s="25"/>
      <c r="P48" s="25"/>
      <c r="Q48" s="25"/>
      <c r="R48" s="25"/>
      <c r="S48" s="25"/>
    </row>
    <row r="49" spans="2:43" x14ac:dyDescent="0.3">
      <c r="B49" s="104"/>
      <c r="C49" s="69"/>
      <c r="D49" s="69"/>
      <c r="E49" s="69">
        <v>3500</v>
      </c>
      <c r="F49" s="69"/>
      <c r="G49" s="69"/>
      <c r="H49" s="88">
        <v>1.1960428085442292</v>
      </c>
      <c r="I49" s="69">
        <v>143.52513702530752</v>
      </c>
      <c r="J49" s="95" t="s">
        <v>47</v>
      </c>
      <c r="K49" s="69"/>
      <c r="L49" s="69"/>
      <c r="M49" s="25"/>
      <c r="N49" s="25"/>
      <c r="O49" s="25"/>
      <c r="P49" s="25"/>
      <c r="Q49" s="25"/>
      <c r="R49" s="25"/>
      <c r="S49" s="25"/>
    </row>
    <row r="50" spans="2:43" x14ac:dyDescent="0.3">
      <c r="B50" s="104"/>
      <c r="C50" s="72"/>
      <c r="D50" s="72"/>
      <c r="E50" s="72">
        <v>3500</v>
      </c>
      <c r="F50" s="72"/>
      <c r="G50" s="72"/>
      <c r="H50" s="89">
        <v>1.1960428085442292</v>
      </c>
      <c r="I50" s="72">
        <v>185.38663532435552</v>
      </c>
      <c r="J50" s="90" t="s">
        <v>47</v>
      </c>
      <c r="K50" s="72"/>
      <c r="L50" s="72"/>
      <c r="M50" s="25"/>
      <c r="N50" s="25"/>
      <c r="O50" s="25"/>
      <c r="P50" s="25"/>
      <c r="Q50" s="25"/>
      <c r="R50" s="25"/>
      <c r="S50" s="25"/>
    </row>
    <row r="51" spans="2:43" x14ac:dyDescent="0.3">
      <c r="B51" s="104"/>
      <c r="C51" s="69"/>
      <c r="D51" s="69"/>
      <c r="E51" s="69">
        <v>4000</v>
      </c>
      <c r="F51" s="69"/>
      <c r="G51" s="69"/>
      <c r="H51" s="88">
        <v>1.1960428085442292</v>
      </c>
      <c r="I51" s="69">
        <v>179.40642128163438</v>
      </c>
      <c r="J51" s="95" t="s">
        <v>47</v>
      </c>
      <c r="K51" s="69"/>
      <c r="L51" s="69"/>
      <c r="M51" s="25"/>
      <c r="N51" s="25"/>
      <c r="O51" s="25"/>
      <c r="P51" s="25"/>
      <c r="Q51" s="25"/>
      <c r="R51" s="25"/>
      <c r="S51" s="25"/>
    </row>
    <row r="52" spans="2:43" x14ac:dyDescent="0.3">
      <c r="B52" s="104"/>
      <c r="C52" s="72"/>
      <c r="D52" s="72"/>
      <c r="E52" s="72">
        <v>4500</v>
      </c>
      <c r="F52" s="72"/>
      <c r="G52" s="72"/>
      <c r="H52" s="89">
        <v>1.1960428085442292</v>
      </c>
      <c r="I52" s="72">
        <v>179.40642128163438</v>
      </c>
      <c r="J52" s="90" t="s">
        <v>47</v>
      </c>
      <c r="K52" s="72"/>
      <c r="L52" s="72"/>
      <c r="M52" s="25"/>
      <c r="N52" s="25"/>
      <c r="O52" s="25"/>
      <c r="P52" s="25"/>
      <c r="Q52" s="25"/>
      <c r="R52" s="25"/>
      <c r="S52" s="25"/>
    </row>
    <row r="53" spans="2:43" x14ac:dyDescent="0.3">
      <c r="B53" s="104"/>
      <c r="C53" s="69"/>
      <c r="D53" s="69"/>
      <c r="E53" s="69">
        <v>5000</v>
      </c>
      <c r="F53" s="69"/>
      <c r="G53" s="69"/>
      <c r="H53" s="88">
        <v>1.1960428085442292</v>
      </c>
      <c r="I53" s="69">
        <v>161.46577915347095</v>
      </c>
      <c r="J53" s="95" t="s">
        <v>47</v>
      </c>
      <c r="K53" s="69"/>
      <c r="L53" s="69"/>
      <c r="M53" s="25"/>
      <c r="N53" s="25"/>
      <c r="O53" s="25"/>
      <c r="P53" s="25"/>
      <c r="Q53" s="25"/>
      <c r="R53" s="25"/>
      <c r="S53" s="25"/>
    </row>
    <row r="54" spans="2:43" x14ac:dyDescent="0.3">
      <c r="B54" s="104"/>
      <c r="C54" s="72"/>
      <c r="D54" s="72"/>
      <c r="E54" s="72">
        <v>5200</v>
      </c>
      <c r="F54" s="72"/>
      <c r="G54" s="72"/>
      <c r="H54" s="89">
        <v>1.1960428085442292</v>
      </c>
      <c r="I54" s="72">
        <v>173.42620723891324</v>
      </c>
      <c r="J54" s="90" t="s">
        <v>47</v>
      </c>
      <c r="K54" s="72"/>
      <c r="L54" s="72"/>
      <c r="M54" s="25"/>
      <c r="N54" s="25"/>
      <c r="O54" s="25"/>
      <c r="P54" s="25"/>
      <c r="Q54" s="25"/>
      <c r="R54" s="25"/>
      <c r="S54" s="25"/>
    </row>
    <row r="55" spans="2:43" x14ac:dyDescent="0.3">
      <c r="B55" s="104"/>
      <c r="C55" s="69"/>
      <c r="D55" s="69"/>
      <c r="E55" s="69">
        <v>10000</v>
      </c>
      <c r="F55" s="69"/>
      <c r="G55" s="69"/>
      <c r="H55" s="88">
        <v>1.1960428085442292</v>
      </c>
      <c r="I55" s="69">
        <v>143.52513702530752</v>
      </c>
      <c r="J55" s="95" t="s">
        <v>47</v>
      </c>
      <c r="K55" s="69"/>
      <c r="L55" s="69"/>
      <c r="M55" s="25"/>
      <c r="N55" s="25"/>
      <c r="O55" s="25"/>
      <c r="P55" s="25"/>
      <c r="Q55" s="25"/>
      <c r="R55" s="25"/>
      <c r="S55" s="25"/>
    </row>
    <row r="56" spans="2:43" x14ac:dyDescent="0.3">
      <c r="B56" s="104"/>
      <c r="C56" s="72"/>
      <c r="D56" s="72"/>
      <c r="E56" s="72">
        <v>200</v>
      </c>
      <c r="F56" s="72"/>
      <c r="G56" s="72"/>
      <c r="H56" s="89">
        <v>1.2784358372393672</v>
      </c>
      <c r="I56" s="72">
        <v>703.13971048165195</v>
      </c>
      <c r="J56" s="90" t="s">
        <v>155</v>
      </c>
      <c r="K56" s="72"/>
      <c r="L56" s="72"/>
      <c r="M56" s="25"/>
      <c r="N56" s="25"/>
      <c r="O56" s="25"/>
      <c r="P56" s="25"/>
      <c r="Q56" s="25"/>
      <c r="R56" s="25"/>
      <c r="S56" s="25"/>
    </row>
    <row r="57" spans="2:43" x14ac:dyDescent="0.3">
      <c r="B57" s="104"/>
      <c r="C57" s="69"/>
      <c r="D57" s="69"/>
      <c r="E57" s="69">
        <v>300</v>
      </c>
      <c r="F57" s="69"/>
      <c r="G57" s="69"/>
      <c r="H57" s="88">
        <v>1.2784358372393672</v>
      </c>
      <c r="I57" s="69">
        <v>549.72741001292786</v>
      </c>
      <c r="J57" s="95" t="s">
        <v>155</v>
      </c>
      <c r="K57" s="69"/>
      <c r="L57" s="69"/>
      <c r="M57" s="25"/>
      <c r="N57" s="25"/>
      <c r="O57" s="25"/>
      <c r="P57" s="25"/>
      <c r="Q57" s="25"/>
      <c r="R57" s="25"/>
      <c r="S57" s="25"/>
    </row>
    <row r="58" spans="2:43" x14ac:dyDescent="0.3">
      <c r="B58" s="104"/>
      <c r="C58" s="72"/>
      <c r="D58" s="72"/>
      <c r="E58" s="72">
        <v>350</v>
      </c>
      <c r="F58" s="72"/>
      <c r="G58" s="72"/>
      <c r="H58" s="89">
        <v>1.2784358372393672</v>
      </c>
      <c r="I58" s="72">
        <v>524.1586932681405</v>
      </c>
      <c r="J58" s="90" t="s">
        <v>155</v>
      </c>
      <c r="K58" s="72"/>
      <c r="L58" s="72"/>
      <c r="M58" s="25"/>
      <c r="N58" s="25"/>
      <c r="O58" s="25"/>
      <c r="P58" s="25"/>
      <c r="Q58" s="25"/>
      <c r="R58" s="25"/>
      <c r="S58" s="25"/>
    </row>
    <row r="59" spans="2:43" x14ac:dyDescent="0.3">
      <c r="B59" s="104"/>
      <c r="C59" s="69"/>
      <c r="D59" s="69"/>
      <c r="E59" s="69">
        <v>600</v>
      </c>
      <c r="F59" s="69"/>
      <c r="G59" s="69"/>
      <c r="H59" s="88">
        <v>1.2784358372393672</v>
      </c>
      <c r="I59" s="69">
        <v>281.2558841926608</v>
      </c>
      <c r="J59" s="95" t="s">
        <v>155</v>
      </c>
      <c r="K59" s="69"/>
      <c r="L59" s="69"/>
      <c r="M59" s="25"/>
      <c r="N59" s="25"/>
      <c r="O59" s="25"/>
      <c r="P59" s="25"/>
      <c r="Q59" s="25"/>
      <c r="R59" s="25"/>
      <c r="S59" s="25"/>
    </row>
    <row r="60" spans="2:43" x14ac:dyDescent="0.3">
      <c r="B60" s="104"/>
      <c r="C60" s="72"/>
      <c r="D60" s="72"/>
      <c r="E60" s="72">
        <v>1200</v>
      </c>
      <c r="F60" s="72"/>
      <c r="G60" s="72"/>
      <c r="H60" s="89">
        <v>1.2784358372393672</v>
      </c>
      <c r="I60" s="72">
        <v>383.53075117181015</v>
      </c>
      <c r="J60" s="90" t="s">
        <v>155</v>
      </c>
      <c r="K60" s="72"/>
      <c r="L60" s="72"/>
      <c r="M60" s="25"/>
      <c r="N60" s="25"/>
      <c r="O60" s="25"/>
      <c r="P60" s="25"/>
      <c r="Q60" s="25"/>
      <c r="R60" s="25"/>
      <c r="S60" s="25"/>
    </row>
    <row r="61" spans="2:43" x14ac:dyDescent="0.3">
      <c r="B61" s="104"/>
      <c r="C61" s="69"/>
      <c r="D61" s="69"/>
      <c r="E61" s="69">
        <v>2800</v>
      </c>
      <c r="F61" s="69"/>
      <c r="G61" s="69"/>
      <c r="H61" s="88">
        <v>1.2784358372393672</v>
      </c>
      <c r="I61" s="69">
        <v>210.94191314449557</v>
      </c>
      <c r="J61" s="95" t="s">
        <v>155</v>
      </c>
      <c r="K61" s="69"/>
      <c r="L61" s="69"/>
      <c r="M61" s="25"/>
      <c r="N61" s="25"/>
      <c r="O61" s="25"/>
      <c r="P61" s="25"/>
      <c r="Q61" s="25"/>
      <c r="R61" s="25"/>
      <c r="S61" s="25"/>
      <c r="T61" s="25"/>
      <c r="U61" s="25"/>
    </row>
    <row r="62" spans="2:43" x14ac:dyDescent="0.3">
      <c r="B62" s="104"/>
      <c r="C62" s="72"/>
      <c r="D62" s="72"/>
      <c r="E62" s="72">
        <v>4800</v>
      </c>
      <c r="F62" s="72"/>
      <c r="G62" s="72"/>
      <c r="H62" s="89">
        <v>1.2784358372393672</v>
      </c>
      <c r="I62" s="72">
        <v>178.98101721351139</v>
      </c>
      <c r="J62" s="90" t="s">
        <v>155</v>
      </c>
      <c r="K62" s="72"/>
      <c r="L62" s="72"/>
      <c r="M62" s="25"/>
      <c r="N62" s="25"/>
      <c r="O62" s="25"/>
      <c r="P62" s="25"/>
      <c r="Q62" s="25"/>
      <c r="R62" s="25"/>
      <c r="S62" s="25"/>
      <c r="T62" s="25"/>
      <c r="U62" s="25"/>
    </row>
    <row r="63" spans="2:43" ht="14.4" customHeight="1" x14ac:dyDescent="0.3">
      <c r="B63" s="104"/>
      <c r="C63" s="69"/>
      <c r="D63" s="69"/>
      <c r="E63" s="69">
        <v>9500</v>
      </c>
      <c r="F63" s="69"/>
      <c r="G63" s="69"/>
      <c r="H63" s="88">
        <v>1.2784358372393672</v>
      </c>
      <c r="I63" s="69">
        <v>140.6279420963304</v>
      </c>
      <c r="J63" s="95" t="s">
        <v>155</v>
      </c>
      <c r="K63" s="69"/>
      <c r="L63" s="69"/>
      <c r="AB63" s="109" t="s">
        <v>249</v>
      </c>
      <c r="AC63" s="109"/>
      <c r="AD63" s="109"/>
      <c r="AE63" s="109"/>
      <c r="AF63" s="109"/>
      <c r="AG63" s="109"/>
      <c r="AH63" s="109"/>
      <c r="AI63" s="109"/>
      <c r="AJ63" s="109"/>
      <c r="AK63" s="109"/>
      <c r="AL63" s="109"/>
      <c r="AM63" s="109"/>
      <c r="AN63" s="109"/>
      <c r="AO63" s="109"/>
      <c r="AP63" s="109"/>
      <c r="AQ63" s="109"/>
    </row>
    <row r="64" spans="2:43" ht="14.4" customHeight="1" x14ac:dyDescent="0.3">
      <c r="AB64" s="109"/>
      <c r="AC64" s="109"/>
      <c r="AD64" s="109"/>
      <c r="AE64" s="109"/>
      <c r="AF64" s="109"/>
      <c r="AG64" s="109"/>
      <c r="AH64" s="109"/>
      <c r="AI64" s="109"/>
      <c r="AJ64" s="109"/>
      <c r="AK64" s="109"/>
      <c r="AL64" s="109"/>
      <c r="AM64" s="109"/>
      <c r="AN64" s="109"/>
      <c r="AO64" s="109"/>
      <c r="AP64" s="109"/>
      <c r="AQ64" s="109"/>
    </row>
    <row r="65" spans="2:43" ht="17.399999999999999" customHeight="1" x14ac:dyDescent="0.3">
      <c r="AB65" s="109"/>
      <c r="AC65" s="109"/>
      <c r="AD65" s="109"/>
      <c r="AE65" s="109"/>
      <c r="AF65" s="109"/>
      <c r="AG65" s="109"/>
      <c r="AH65" s="109"/>
      <c r="AI65" s="109"/>
      <c r="AJ65" s="109"/>
      <c r="AK65" s="109"/>
      <c r="AL65" s="109"/>
      <c r="AM65" s="109"/>
      <c r="AN65" s="109"/>
      <c r="AO65" s="109"/>
      <c r="AP65" s="109"/>
      <c r="AQ65" s="109"/>
    </row>
    <row r="66" spans="2:43" x14ac:dyDescent="0.3">
      <c r="M66" s="23"/>
      <c r="N66" s="23"/>
      <c r="O66" s="23"/>
      <c r="P66" s="23"/>
      <c r="Q66" s="23"/>
      <c r="R66" s="23"/>
      <c r="S66" s="23"/>
      <c r="T66" s="23"/>
      <c r="U66" s="23"/>
    </row>
    <row r="67" spans="2:43" x14ac:dyDescent="0.3">
      <c r="B67" s="107" t="s">
        <v>28</v>
      </c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24"/>
      <c r="R67" s="24"/>
      <c r="S67" s="24"/>
      <c r="T67" s="24"/>
      <c r="U67" s="24"/>
      <c r="AB67" s="107" t="s">
        <v>211</v>
      </c>
      <c r="AC67" s="107"/>
      <c r="AD67" s="107"/>
      <c r="AE67" s="107"/>
      <c r="AF67" s="107"/>
      <c r="AG67" s="107"/>
      <c r="AH67" s="107"/>
      <c r="AI67" s="107"/>
      <c r="AJ67" s="107"/>
      <c r="AK67" s="107"/>
    </row>
    <row r="68" spans="2:43" ht="16.2" x14ac:dyDescent="0.3">
      <c r="B68" s="21" t="s">
        <v>162</v>
      </c>
      <c r="C68" s="21" t="s">
        <v>163</v>
      </c>
      <c r="D68" s="21" t="s">
        <v>164</v>
      </c>
      <c r="E68" s="21" t="s">
        <v>168</v>
      </c>
      <c r="F68" s="21" t="s">
        <v>215</v>
      </c>
      <c r="G68" s="21" t="s">
        <v>204</v>
      </c>
      <c r="H68" s="21" t="s">
        <v>151</v>
      </c>
      <c r="I68" s="21" t="s">
        <v>170</v>
      </c>
      <c r="J68" s="21" t="s">
        <v>161</v>
      </c>
      <c r="K68" s="21" t="s">
        <v>169</v>
      </c>
      <c r="L68" s="21" t="s">
        <v>210</v>
      </c>
      <c r="M68" s="21" t="s">
        <v>226</v>
      </c>
      <c r="N68" s="21" t="s">
        <v>205</v>
      </c>
      <c r="O68" s="21" t="s">
        <v>206</v>
      </c>
      <c r="P68" s="21" t="s">
        <v>207</v>
      </c>
      <c r="AB68" s="93" t="s">
        <v>216</v>
      </c>
      <c r="AC68" s="93"/>
      <c r="AD68" s="93" t="s">
        <v>217</v>
      </c>
      <c r="AE68" s="93"/>
      <c r="AF68" s="93" t="s">
        <v>214</v>
      </c>
      <c r="AG68" s="93" t="s">
        <v>215</v>
      </c>
      <c r="AH68" s="91"/>
      <c r="AI68" s="91"/>
      <c r="AJ68" s="91"/>
      <c r="AK68" s="21" t="s">
        <v>212</v>
      </c>
    </row>
    <row r="69" spans="2:43" x14ac:dyDescent="0.3">
      <c r="B69" s="68" t="s">
        <v>88</v>
      </c>
      <c r="C69" s="69">
        <v>2019</v>
      </c>
      <c r="D69" s="69" t="s">
        <v>92</v>
      </c>
      <c r="E69" s="69">
        <v>34000</v>
      </c>
      <c r="F69" s="69">
        <v>624</v>
      </c>
      <c r="G69" s="69"/>
      <c r="H69" s="69">
        <v>491265.93</v>
      </c>
      <c r="I69" s="69" t="s">
        <v>37</v>
      </c>
      <c r="J69" s="88">
        <v>1.1804946268925114</v>
      </c>
      <c r="K69" s="69">
        <f>H69/E69*J69</f>
        <v>17.056964433539783</v>
      </c>
      <c r="L69" s="69"/>
      <c r="M69" s="69">
        <f t="shared" ref="M69:M79" si="2">H69*J69/F69</f>
        <v>929.38588259671894</v>
      </c>
      <c r="N69" s="95" t="s">
        <v>251</v>
      </c>
      <c r="O69" s="69"/>
      <c r="P69" s="69"/>
      <c r="U69" s="3"/>
      <c r="AB69">
        <f>15/1000</f>
        <v>1.4999999999999999E-2</v>
      </c>
      <c r="AC69">
        <f>30/1000</f>
        <v>0.03</v>
      </c>
      <c r="AD69">
        <f>30/1000</f>
        <v>0.03</v>
      </c>
      <c r="AE69">
        <f>60/1000</f>
        <v>0.06</v>
      </c>
      <c r="AK69" s="26" t="s">
        <v>40</v>
      </c>
    </row>
    <row r="70" spans="2:43" x14ac:dyDescent="0.3">
      <c r="B70" s="71" t="s">
        <v>86</v>
      </c>
      <c r="C70" s="72">
        <v>2016</v>
      </c>
      <c r="D70" s="72" t="s">
        <v>71</v>
      </c>
      <c r="E70" s="72">
        <v>18000</v>
      </c>
      <c r="F70" s="72">
        <v>1044</v>
      </c>
      <c r="G70" s="72"/>
      <c r="H70" s="72">
        <v>154826.1</v>
      </c>
      <c r="I70" s="72" t="s">
        <v>37</v>
      </c>
      <c r="J70" s="89">
        <v>1.1804946268925114</v>
      </c>
      <c r="K70" s="72">
        <f>H70/E70*J70</f>
        <v>10.153965508484593</v>
      </c>
      <c r="L70" s="72"/>
      <c r="M70" s="72">
        <f t="shared" si="2"/>
        <v>175.06837083594124</v>
      </c>
      <c r="N70" s="90" t="s">
        <v>251</v>
      </c>
      <c r="O70" s="72"/>
      <c r="P70" s="72"/>
    </row>
    <row r="71" spans="2:43" ht="14.4" customHeight="1" x14ac:dyDescent="0.3">
      <c r="B71" s="68" t="s">
        <v>20</v>
      </c>
      <c r="C71" s="69">
        <v>2002</v>
      </c>
      <c r="D71" s="69" t="s">
        <v>66</v>
      </c>
      <c r="E71" s="69">
        <v>60000</v>
      </c>
      <c r="F71" s="69">
        <v>1080</v>
      </c>
      <c r="G71" s="69"/>
      <c r="H71" s="69">
        <v>165414.82999999999</v>
      </c>
      <c r="I71" s="69" t="s">
        <v>37</v>
      </c>
      <c r="J71" s="88">
        <v>1.1804946268925114</v>
      </c>
      <c r="K71" s="69">
        <f>H71/E71*J71</f>
        <v>3.254521967055636</v>
      </c>
      <c r="L71" s="69"/>
      <c r="M71" s="69">
        <f t="shared" si="2"/>
        <v>180.80677594753536</v>
      </c>
      <c r="N71" s="95" t="s">
        <v>251</v>
      </c>
      <c r="O71" s="95" t="s">
        <v>252</v>
      </c>
      <c r="P71" s="69"/>
      <c r="Q71" s="25"/>
      <c r="R71" s="25"/>
      <c r="S71" s="25"/>
      <c r="T71" s="25"/>
      <c r="U71" s="25"/>
      <c r="AB71" s="3">
        <f>$D$125*($AF71/(AB$69/$AB$69))^($E$125)/AB$69</f>
        <v>4087.2426851173532</v>
      </c>
      <c r="AC71" s="3">
        <f t="shared" ref="AC71:AE81" si="3">129696*($AF71/(AC$69/$AB$69))^(-0.852)/AC$69</f>
        <v>3049.8809244072568</v>
      </c>
      <c r="AD71" s="3">
        <f t="shared" si="3"/>
        <v>3049.8809244072568</v>
      </c>
      <c r="AE71" s="3">
        <f t="shared" si="3"/>
        <v>2752.5197529513407</v>
      </c>
      <c r="AF71">
        <f>10000</f>
        <v>10000</v>
      </c>
      <c r="AG71" s="1">
        <f t="shared" ref="AG71:AG81" si="4">$AF71*AB$69/(AB$69/$AB$69)</f>
        <v>150</v>
      </c>
      <c r="AH71" s="1">
        <f t="shared" ref="AH71:AH81" si="5">$AF71*AC$69/(AC$69/$AB$69)</f>
        <v>150</v>
      </c>
      <c r="AI71" s="1">
        <f t="shared" ref="AI71:AI81" si="6">$AF71*AD$69/(AD$69/$AB$69)</f>
        <v>150</v>
      </c>
      <c r="AJ71" s="1">
        <f t="shared" ref="AJ71:AJ81" si="7">$AF71*AE$69/(AE$69/$AB$69)</f>
        <v>150</v>
      </c>
      <c r="AK71" s="110" t="s">
        <v>181</v>
      </c>
    </row>
    <row r="72" spans="2:43" x14ac:dyDescent="0.3">
      <c r="B72" s="71" t="s">
        <v>85</v>
      </c>
      <c r="C72" s="72">
        <v>2012</v>
      </c>
      <c r="D72" s="72" t="s">
        <v>67</v>
      </c>
      <c r="E72" s="72">
        <v>19000</v>
      </c>
      <c r="F72" s="72">
        <v>260</v>
      </c>
      <c r="G72" s="72">
        <v>2160</v>
      </c>
      <c r="H72" s="72">
        <f>K72*E72/J72</f>
        <v>1045000.0000000001</v>
      </c>
      <c r="I72" s="72" t="s">
        <v>37</v>
      </c>
      <c r="J72" s="89">
        <v>1.2784358372393672</v>
      </c>
      <c r="K72" s="72">
        <f>55*J72</f>
        <v>70.3139710481652</v>
      </c>
      <c r="L72" s="72">
        <f t="shared" ref="L72:L79" si="8">H72*J72/G72</f>
        <v>618.50252310886049</v>
      </c>
      <c r="M72" s="72">
        <f t="shared" si="2"/>
        <v>5138.3286535197649</v>
      </c>
      <c r="N72" s="90" t="s">
        <v>251</v>
      </c>
      <c r="O72" s="90" t="s">
        <v>250</v>
      </c>
      <c r="P72" s="90" t="s">
        <v>253</v>
      </c>
      <c r="AB72" s="3">
        <f t="shared" ref="AB72:AB81" si="9">129696*($AF72/(AB$69/$AB$69))^(-0.852)/AB$69</f>
        <v>2392.2445304058647</v>
      </c>
      <c r="AC72" s="3">
        <f t="shared" si="3"/>
        <v>2159.0024289593143</v>
      </c>
      <c r="AD72" s="3">
        <f t="shared" si="3"/>
        <v>2159.0024289593143</v>
      </c>
      <c r="AE72" s="3">
        <f t="shared" si="3"/>
        <v>1948.5012627289334</v>
      </c>
      <c r="AF72">
        <v>15000</v>
      </c>
      <c r="AG72" s="1">
        <f t="shared" si="4"/>
        <v>225</v>
      </c>
      <c r="AH72" s="1">
        <f t="shared" si="5"/>
        <v>225</v>
      </c>
      <c r="AI72" s="1">
        <f t="shared" si="6"/>
        <v>225</v>
      </c>
      <c r="AJ72" s="1">
        <f t="shared" si="7"/>
        <v>225</v>
      </c>
      <c r="AK72" s="110"/>
    </row>
    <row r="73" spans="2:43" x14ac:dyDescent="0.3">
      <c r="B73" s="68" t="s">
        <v>89</v>
      </c>
      <c r="C73" s="69">
        <v>2019</v>
      </c>
      <c r="D73" s="69" t="s">
        <v>92</v>
      </c>
      <c r="E73" s="69">
        <v>34000</v>
      </c>
      <c r="F73" s="69">
        <v>426.4</v>
      </c>
      <c r="G73" s="69"/>
      <c r="H73" s="69">
        <v>491265.93</v>
      </c>
      <c r="I73" s="69" t="s">
        <v>37</v>
      </c>
      <c r="J73" s="88">
        <v>1.1804946268925114</v>
      </c>
      <c r="K73" s="69">
        <f>H73/E73*J73</f>
        <v>17.056964433539783</v>
      </c>
      <c r="L73" s="69"/>
      <c r="M73" s="69">
        <f t="shared" si="2"/>
        <v>1360.076901361052</v>
      </c>
      <c r="N73" s="95" t="s">
        <v>251</v>
      </c>
      <c r="O73" s="69"/>
      <c r="P73" s="69"/>
      <c r="AB73" s="3">
        <f t="shared" si="9"/>
        <v>1872.2238212933225</v>
      </c>
      <c r="AC73" s="3">
        <f t="shared" si="3"/>
        <v>1689.6833606897114</v>
      </c>
      <c r="AD73" s="3">
        <f t="shared" si="3"/>
        <v>1689.6833606897114</v>
      </c>
      <c r="AE73" s="3">
        <f t="shared" si="3"/>
        <v>1524.9404622036284</v>
      </c>
      <c r="AF73">
        <v>20000</v>
      </c>
      <c r="AG73" s="1">
        <f t="shared" si="4"/>
        <v>300</v>
      </c>
      <c r="AH73" s="1">
        <f t="shared" si="5"/>
        <v>300</v>
      </c>
      <c r="AI73" s="1">
        <f t="shared" si="6"/>
        <v>300</v>
      </c>
      <c r="AJ73" s="1">
        <f t="shared" si="7"/>
        <v>300</v>
      </c>
      <c r="AK73" s="110"/>
    </row>
    <row r="74" spans="2:43" x14ac:dyDescent="0.3">
      <c r="B74" s="71" t="s">
        <v>84</v>
      </c>
      <c r="C74" s="72">
        <v>2010</v>
      </c>
      <c r="D74" s="72" t="s">
        <v>208</v>
      </c>
      <c r="E74" s="72">
        <v>323000</v>
      </c>
      <c r="F74" s="72">
        <v>3600</v>
      </c>
      <c r="G74" s="72">
        <v>21000</v>
      </c>
      <c r="H74" s="72">
        <v>14680000</v>
      </c>
      <c r="I74" s="72"/>
      <c r="J74" s="89">
        <v>0.15285991907458568</v>
      </c>
      <c r="K74" s="72">
        <f>H74/E74*J74</f>
        <v>6.9473176842567117</v>
      </c>
      <c r="L74" s="72">
        <f t="shared" si="8"/>
        <v>106.85636247690084</v>
      </c>
      <c r="M74" s="72">
        <f t="shared" si="2"/>
        <v>623.32878111525486</v>
      </c>
      <c r="N74" s="90" t="s">
        <v>209</v>
      </c>
      <c r="O74" s="72"/>
      <c r="P74" s="72"/>
      <c r="AB74" s="3">
        <f t="shared" si="9"/>
        <v>1325.3421618463194</v>
      </c>
      <c r="AC74" s="3">
        <f t="shared" si="3"/>
        <v>1196.1222652029323</v>
      </c>
      <c r="AD74" s="3">
        <f t="shared" si="3"/>
        <v>1196.1222652029323</v>
      </c>
      <c r="AE74" s="3">
        <f t="shared" si="3"/>
        <v>1079.5012144796572</v>
      </c>
      <c r="AF74">
        <v>30000</v>
      </c>
      <c r="AG74" s="1">
        <f t="shared" si="4"/>
        <v>450</v>
      </c>
      <c r="AH74" s="1">
        <f t="shared" si="5"/>
        <v>450</v>
      </c>
      <c r="AI74" s="1">
        <f t="shared" si="6"/>
        <v>450</v>
      </c>
      <c r="AJ74" s="1">
        <f t="shared" si="7"/>
        <v>450</v>
      </c>
      <c r="AK74" s="110"/>
    </row>
    <row r="75" spans="2:43" x14ac:dyDescent="0.3">
      <c r="B75" s="68" t="s">
        <v>83</v>
      </c>
      <c r="C75" s="69">
        <v>2007</v>
      </c>
      <c r="D75" s="69" t="s">
        <v>91</v>
      </c>
      <c r="E75" s="69">
        <v>34000</v>
      </c>
      <c r="F75" s="69">
        <v>650</v>
      </c>
      <c r="G75" s="69">
        <v>5040</v>
      </c>
      <c r="H75" s="69">
        <v>542203.9</v>
      </c>
      <c r="I75" s="69" t="s">
        <v>37</v>
      </c>
      <c r="J75" s="88">
        <v>1.1804946268925114</v>
      </c>
      <c r="K75" s="69">
        <f>H75/E75*J75</f>
        <v>18.825552665593076</v>
      </c>
      <c r="L75" s="69">
        <f t="shared" si="8"/>
        <v>126.99777591868344</v>
      </c>
      <c r="M75" s="69">
        <f t="shared" si="2"/>
        <v>984.72121635409928</v>
      </c>
      <c r="N75" s="95" t="s">
        <v>251</v>
      </c>
      <c r="O75" s="69"/>
      <c r="P75" s="69"/>
      <c r="AB75" s="3">
        <f t="shared" si="9"/>
        <v>1037.2422782181425</v>
      </c>
      <c r="AC75" s="3">
        <f t="shared" si="3"/>
        <v>936.11191064666127</v>
      </c>
      <c r="AD75" s="3">
        <f t="shared" si="3"/>
        <v>936.11191064666127</v>
      </c>
      <c r="AE75" s="3">
        <f t="shared" si="3"/>
        <v>844.84168034485572</v>
      </c>
      <c r="AF75">
        <v>40000</v>
      </c>
      <c r="AG75" s="1">
        <f t="shared" si="4"/>
        <v>600</v>
      </c>
      <c r="AH75" s="1">
        <f t="shared" si="5"/>
        <v>600</v>
      </c>
      <c r="AI75" s="1">
        <f t="shared" si="6"/>
        <v>600</v>
      </c>
      <c r="AJ75" s="1">
        <f t="shared" si="7"/>
        <v>600</v>
      </c>
      <c r="AK75" s="110"/>
    </row>
    <row r="76" spans="2:43" x14ac:dyDescent="0.3">
      <c r="B76" s="71" t="s">
        <v>87</v>
      </c>
      <c r="C76" s="72">
        <v>2017</v>
      </c>
      <c r="D76" s="72" t="s">
        <v>91</v>
      </c>
      <c r="E76" s="72">
        <v>19500</v>
      </c>
      <c r="F76" s="72">
        <v>930</v>
      </c>
      <c r="G76" s="72">
        <v>3600</v>
      </c>
      <c r="H76" s="72">
        <v>320791.05</v>
      </c>
      <c r="I76" s="72" t="s">
        <v>37</v>
      </c>
      <c r="J76" s="89">
        <v>1.1804946268925114</v>
      </c>
      <c r="K76" s="72">
        <f>H76/E76*J76</f>
        <v>19.420108250267024</v>
      </c>
      <c r="L76" s="72">
        <f t="shared" si="8"/>
        <v>105.19225302227971</v>
      </c>
      <c r="M76" s="72">
        <f t="shared" si="2"/>
        <v>407.1958181507602</v>
      </c>
      <c r="N76" s="90" t="s">
        <v>251</v>
      </c>
      <c r="O76" s="72"/>
      <c r="P76" s="72"/>
      <c r="AB76" s="3">
        <f t="shared" si="9"/>
        <v>857.65550453077651</v>
      </c>
      <c r="AC76" s="3">
        <f t="shared" si="3"/>
        <v>774.03471675118271</v>
      </c>
      <c r="AD76" s="3">
        <f t="shared" si="3"/>
        <v>774.03471675118271</v>
      </c>
      <c r="AE76" s="3">
        <f t="shared" si="3"/>
        <v>698.5668949491178</v>
      </c>
      <c r="AF76">
        <v>50000</v>
      </c>
      <c r="AG76" s="1">
        <f t="shared" si="4"/>
        <v>750</v>
      </c>
      <c r="AH76" s="1">
        <f t="shared" si="5"/>
        <v>750</v>
      </c>
      <c r="AI76" s="1">
        <f t="shared" si="6"/>
        <v>750</v>
      </c>
      <c r="AJ76" s="1">
        <f t="shared" si="7"/>
        <v>750</v>
      </c>
      <c r="AK76" s="110"/>
    </row>
    <row r="77" spans="2:43" x14ac:dyDescent="0.3">
      <c r="B77" s="68" t="s">
        <v>19</v>
      </c>
      <c r="C77" s="69">
        <v>2008</v>
      </c>
      <c r="D77" s="69" t="s">
        <v>62</v>
      </c>
      <c r="E77" s="69">
        <f>37500/3</f>
        <v>12500</v>
      </c>
      <c r="F77" s="69">
        <v>580</v>
      </c>
      <c r="G77" s="69">
        <v>4400</v>
      </c>
      <c r="H77" s="69">
        <v>450000</v>
      </c>
      <c r="I77" s="69" t="s">
        <v>37</v>
      </c>
      <c r="J77" s="88">
        <v>1.6861953496808895</v>
      </c>
      <c r="K77" s="69">
        <f>H77/E77*J77</f>
        <v>60.703032588512023</v>
      </c>
      <c r="L77" s="69">
        <f t="shared" si="8"/>
        <v>172.45179712645461</v>
      </c>
      <c r="M77" s="69">
        <f t="shared" si="2"/>
        <v>1308.2550126834487</v>
      </c>
      <c r="N77" s="95" t="s">
        <v>155</v>
      </c>
      <c r="O77" s="95" t="s">
        <v>251</v>
      </c>
      <c r="P77" s="69"/>
      <c r="R77" s="25"/>
      <c r="S77" s="25"/>
      <c r="T77" s="25"/>
      <c r="U77" s="25"/>
      <c r="AB77" s="3">
        <f t="shared" si="9"/>
        <v>607.13200396574268</v>
      </c>
      <c r="AC77" s="3">
        <f t="shared" si="3"/>
        <v>547.93707524480624</v>
      </c>
      <c r="AD77" s="3">
        <f t="shared" si="3"/>
        <v>547.93707524480624</v>
      </c>
      <c r="AE77" s="3">
        <f t="shared" si="3"/>
        <v>494.51360901207357</v>
      </c>
      <c r="AF77">
        <v>75000</v>
      </c>
      <c r="AG77" s="1">
        <f t="shared" si="4"/>
        <v>1125</v>
      </c>
      <c r="AH77" s="1">
        <f t="shared" si="5"/>
        <v>1125</v>
      </c>
      <c r="AI77" s="1">
        <f t="shared" si="6"/>
        <v>1125</v>
      </c>
      <c r="AJ77" s="1">
        <f t="shared" si="7"/>
        <v>1125</v>
      </c>
      <c r="AK77" s="110"/>
    </row>
    <row r="78" spans="2:43" x14ac:dyDescent="0.3">
      <c r="B78" s="71" t="s">
        <v>174</v>
      </c>
      <c r="C78" s="72">
        <v>1997</v>
      </c>
      <c r="D78" s="72" t="s">
        <v>62</v>
      </c>
      <c r="E78" s="72">
        <v>5000</v>
      </c>
      <c r="F78" s="72">
        <v>290</v>
      </c>
      <c r="G78" s="72">
        <v>17388</v>
      </c>
      <c r="H78" s="72">
        <v>980000</v>
      </c>
      <c r="I78" s="72" t="s">
        <v>38</v>
      </c>
      <c r="J78" s="89">
        <v>1.0014197823000475</v>
      </c>
      <c r="K78" s="72">
        <f>J78*H78/E78</f>
        <v>196.27827733080929</v>
      </c>
      <c r="L78" s="72">
        <f t="shared" si="8"/>
        <v>56.440728471017167</v>
      </c>
      <c r="M78" s="72">
        <f t="shared" si="2"/>
        <v>3384.1082298415395</v>
      </c>
      <c r="N78" s="90" t="s">
        <v>209</v>
      </c>
      <c r="O78" s="90"/>
      <c r="P78" s="72"/>
      <c r="R78" s="25"/>
      <c r="S78" s="25"/>
      <c r="T78" s="25"/>
      <c r="U78" s="25"/>
      <c r="AB78" s="3">
        <f t="shared" si="9"/>
        <v>475.15502117225645</v>
      </c>
      <c r="AC78" s="3">
        <f t="shared" si="3"/>
        <v>428.82775226538826</v>
      </c>
      <c r="AD78" s="3">
        <f t="shared" si="3"/>
        <v>428.82775226538826</v>
      </c>
      <c r="AE78" s="3">
        <f t="shared" si="3"/>
        <v>387.01735837559136</v>
      </c>
      <c r="AF78">
        <v>100000</v>
      </c>
      <c r="AG78" s="1">
        <f t="shared" si="4"/>
        <v>1500</v>
      </c>
      <c r="AH78" s="1">
        <f t="shared" si="5"/>
        <v>1500</v>
      </c>
      <c r="AI78" s="1">
        <f t="shared" si="6"/>
        <v>1500</v>
      </c>
      <c r="AJ78" s="1">
        <f t="shared" si="7"/>
        <v>1500</v>
      </c>
      <c r="AK78" s="110"/>
    </row>
    <row r="79" spans="2:43" x14ac:dyDescent="0.3">
      <c r="B79" s="68" t="s">
        <v>175</v>
      </c>
      <c r="C79" s="69">
        <v>2001</v>
      </c>
      <c r="D79" s="69" t="s">
        <v>62</v>
      </c>
      <c r="E79" s="69">
        <v>10700</v>
      </c>
      <c r="F79" s="69">
        <v>619</v>
      </c>
      <c r="G79" s="69">
        <v>172244</v>
      </c>
      <c r="H79" s="69">
        <v>1550000</v>
      </c>
      <c r="I79" s="69" t="s">
        <v>38</v>
      </c>
      <c r="J79" s="88">
        <v>1.0014197823000475</v>
      </c>
      <c r="K79" s="69">
        <f>J79*H79/E79</f>
        <v>145.06548248271716</v>
      </c>
      <c r="L79" s="69">
        <f t="shared" si="8"/>
        <v>9.0116385044766343</v>
      </c>
      <c r="M79" s="69">
        <f t="shared" si="2"/>
        <v>2507.5939621406678</v>
      </c>
      <c r="N79" s="90" t="s">
        <v>209</v>
      </c>
      <c r="O79" s="95"/>
      <c r="P79" s="69"/>
      <c r="AB79" s="3">
        <f t="shared" si="9"/>
        <v>336.36094990904991</v>
      </c>
      <c r="AC79" s="3">
        <f t="shared" si="3"/>
        <v>303.56600198287134</v>
      </c>
      <c r="AD79" s="3">
        <f t="shared" si="3"/>
        <v>303.56600198287134</v>
      </c>
      <c r="AE79" s="3">
        <f t="shared" si="3"/>
        <v>273.96853762240312</v>
      </c>
      <c r="AF79">
        <v>150000</v>
      </c>
      <c r="AG79" s="1">
        <f t="shared" si="4"/>
        <v>2250</v>
      </c>
      <c r="AH79" s="1">
        <f t="shared" si="5"/>
        <v>2250</v>
      </c>
      <c r="AI79" s="1">
        <f t="shared" si="6"/>
        <v>2250</v>
      </c>
      <c r="AJ79" s="1">
        <f t="shared" si="7"/>
        <v>2250</v>
      </c>
      <c r="AK79" s="110"/>
    </row>
    <row r="80" spans="2:43" x14ac:dyDescent="0.3">
      <c r="B80" s="71" t="s">
        <v>190</v>
      </c>
      <c r="C80" s="72">
        <v>2021</v>
      </c>
      <c r="D80" s="72" t="s">
        <v>73</v>
      </c>
      <c r="E80" s="72"/>
      <c r="F80" s="72"/>
      <c r="G80" s="72"/>
      <c r="H80" s="72">
        <v>1400000</v>
      </c>
      <c r="I80" s="72" t="s">
        <v>38</v>
      </c>
      <c r="J80" s="89">
        <v>1.0014197823000475</v>
      </c>
      <c r="K80" s="72"/>
      <c r="L80" s="72"/>
      <c r="M80" s="72"/>
      <c r="N80" s="90" t="s">
        <v>209</v>
      </c>
      <c r="O80" s="72"/>
      <c r="P80" s="72"/>
      <c r="AB80" s="3">
        <f t="shared" si="9"/>
        <v>217.66591941572023</v>
      </c>
      <c r="AC80" s="3">
        <f t="shared" si="3"/>
        <v>196.44365061646604</v>
      </c>
      <c r="AD80" s="3">
        <f t="shared" si="3"/>
        <v>196.44365061646604</v>
      </c>
      <c r="AE80" s="3">
        <f t="shared" si="3"/>
        <v>177.29053758673589</v>
      </c>
      <c r="AF80">
        <v>250000</v>
      </c>
      <c r="AG80" s="1">
        <f t="shared" si="4"/>
        <v>3750</v>
      </c>
      <c r="AH80" s="1">
        <f t="shared" si="5"/>
        <v>3750</v>
      </c>
      <c r="AI80" s="1">
        <f t="shared" si="6"/>
        <v>3750</v>
      </c>
      <c r="AJ80" s="1">
        <f t="shared" si="7"/>
        <v>3750</v>
      </c>
      <c r="AK80" s="110"/>
    </row>
    <row r="81" spans="2:37" x14ac:dyDescent="0.3">
      <c r="B81" s="68" t="s">
        <v>191</v>
      </c>
      <c r="C81" s="69">
        <v>2024</v>
      </c>
      <c r="D81" s="69" t="s">
        <v>73</v>
      </c>
      <c r="E81" s="69"/>
      <c r="F81" s="69">
        <v>1350</v>
      </c>
      <c r="G81" s="69">
        <f>161*200</f>
        <v>32200</v>
      </c>
      <c r="H81" s="69">
        <v>4500000</v>
      </c>
      <c r="I81" s="69" t="s">
        <v>38</v>
      </c>
      <c r="J81" s="88">
        <v>1.0014197823000475</v>
      </c>
      <c r="K81" s="69"/>
      <c r="L81" s="69">
        <f>H81*J81/G81</f>
        <v>139.94996957609357</v>
      </c>
      <c r="M81" s="69">
        <f>H81*J81/F81</f>
        <v>3338.0659410001581</v>
      </c>
      <c r="N81" s="90" t="s">
        <v>209</v>
      </c>
      <c r="O81" s="69"/>
      <c r="P81" s="69"/>
      <c r="AB81" s="3">
        <f t="shared" si="9"/>
        <v>163.41403332421459</v>
      </c>
      <c r="AC81" s="3">
        <f t="shared" si="3"/>
        <v>147.48128395267358</v>
      </c>
      <c r="AD81" s="3">
        <f t="shared" si="3"/>
        <v>147.48128395267358</v>
      </c>
      <c r="AE81" s="3">
        <f t="shared" si="3"/>
        <v>133.10196605438102</v>
      </c>
      <c r="AF81">
        <v>350000</v>
      </c>
      <c r="AG81" s="1">
        <f t="shared" si="4"/>
        <v>5250</v>
      </c>
      <c r="AH81" s="1">
        <f t="shared" si="5"/>
        <v>5250</v>
      </c>
      <c r="AI81" s="1">
        <f t="shared" si="6"/>
        <v>5250</v>
      </c>
      <c r="AJ81" s="1">
        <f t="shared" si="7"/>
        <v>5250</v>
      </c>
      <c r="AK81" s="110"/>
    </row>
    <row r="82" spans="2:37" x14ac:dyDescent="0.3">
      <c r="L82" s="17"/>
    </row>
    <row r="84" spans="2:37" x14ac:dyDescent="0.3">
      <c r="M84" s="23"/>
      <c r="N84" s="23"/>
      <c r="O84" s="23"/>
      <c r="P84" s="23"/>
      <c r="Q84" s="23"/>
      <c r="R84" s="23"/>
      <c r="S84" s="23"/>
      <c r="T84" s="23"/>
      <c r="U84" s="23"/>
    </row>
    <row r="85" spans="2:37" x14ac:dyDescent="0.3">
      <c r="B85" s="108" t="s">
        <v>27</v>
      </c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24"/>
      <c r="R85" s="24"/>
      <c r="S85" s="24"/>
      <c r="T85" s="24"/>
      <c r="U85" s="24"/>
      <c r="AF85" s="108" t="s">
        <v>213</v>
      </c>
      <c r="AG85" s="108"/>
      <c r="AH85" s="108"/>
      <c r="AI85" s="108"/>
      <c r="AJ85" s="108"/>
      <c r="AK85" s="108"/>
    </row>
    <row r="86" spans="2:37" ht="16.2" x14ac:dyDescent="0.3">
      <c r="B86" s="22" t="s">
        <v>162</v>
      </c>
      <c r="C86" s="22" t="s">
        <v>163</v>
      </c>
      <c r="D86" s="22" t="s">
        <v>164</v>
      </c>
      <c r="E86" s="22" t="s">
        <v>204</v>
      </c>
      <c r="F86" s="22" t="s">
        <v>168</v>
      </c>
      <c r="G86" s="22" t="s">
        <v>215</v>
      </c>
      <c r="H86" s="22" t="s">
        <v>151</v>
      </c>
      <c r="I86" s="22" t="s">
        <v>170</v>
      </c>
      <c r="J86" s="22" t="s">
        <v>161</v>
      </c>
      <c r="K86" s="22" t="s">
        <v>210</v>
      </c>
      <c r="L86" s="22" t="s">
        <v>169</v>
      </c>
      <c r="M86" s="22" t="s">
        <v>226</v>
      </c>
      <c r="N86" s="22" t="s">
        <v>205</v>
      </c>
      <c r="O86" s="22" t="s">
        <v>206</v>
      </c>
      <c r="P86" s="22" t="s">
        <v>207</v>
      </c>
      <c r="Q86" s="25"/>
      <c r="R86" s="25"/>
      <c r="S86" s="25"/>
      <c r="T86" s="25"/>
      <c r="U86" s="25"/>
      <c r="AF86" s="94" t="s">
        <v>229</v>
      </c>
      <c r="AG86" s="92"/>
      <c r="AH86" s="94" t="s">
        <v>214</v>
      </c>
      <c r="AI86" s="94" t="s">
        <v>215</v>
      </c>
      <c r="AJ86" s="92"/>
      <c r="AK86" s="22" t="s">
        <v>212</v>
      </c>
    </row>
    <row r="87" spans="2:37" x14ac:dyDescent="0.3">
      <c r="B87" s="68" t="s">
        <v>193</v>
      </c>
      <c r="C87" s="69">
        <v>1991</v>
      </c>
      <c r="D87" s="69" t="s">
        <v>56</v>
      </c>
      <c r="E87" s="69">
        <f>2*260</f>
        <v>520</v>
      </c>
      <c r="F87" s="69">
        <v>130000</v>
      </c>
      <c r="G87" s="69">
        <v>6000</v>
      </c>
      <c r="H87" s="69">
        <v>1100000</v>
      </c>
      <c r="I87" s="88" t="s">
        <v>37</v>
      </c>
      <c r="J87" s="88">
        <f>'inflation &amp; currencies'!$B$58/INDEX('inflation &amp; currencies'!$B:$B,MATCH(C87,'inflation &amp; currencies'!$A:$A,0))/INDEX('inflation &amp; currencies'!$C$3:$AV$58,MATCH(C87,'inflation &amp; currencies'!$A$3:$A$58,0),MATCH(D87,'inflation &amp; currencies'!$C$2:$AV$2,0))</f>
        <v>2.2283197589611348</v>
      </c>
      <c r="K87" s="69">
        <f t="shared" ref="K87:K102" si="10">H87/E87*J87</f>
        <v>4713.7533362639388</v>
      </c>
      <c r="L87" s="69">
        <f>H87/F87*J87</f>
        <v>18.855013345055756</v>
      </c>
      <c r="M87" s="69">
        <f>H87*J87/G87</f>
        <v>408.52528914287467</v>
      </c>
      <c r="N87" s="95" t="s">
        <v>228</v>
      </c>
      <c r="O87" s="95" t="s">
        <v>265</v>
      </c>
      <c r="P87" s="95"/>
      <c r="Q87" s="88" t="s">
        <v>227</v>
      </c>
      <c r="R87" s="25"/>
      <c r="S87" s="25"/>
      <c r="T87" s="25"/>
      <c r="U87" s="25"/>
      <c r="AF87">
        <f>30/1000</f>
        <v>0.03</v>
      </c>
      <c r="AG87">
        <f>40/1000</f>
        <v>0.04</v>
      </c>
      <c r="AK87" s="27" t="s">
        <v>47</v>
      </c>
    </row>
    <row r="88" spans="2:37" x14ac:dyDescent="0.3">
      <c r="B88" s="71" t="s">
        <v>192</v>
      </c>
      <c r="C88" s="72">
        <v>1996</v>
      </c>
      <c r="D88" s="72" t="s">
        <v>56</v>
      </c>
      <c r="E88" s="72">
        <f>2*240</f>
        <v>480</v>
      </c>
      <c r="F88" s="72"/>
      <c r="G88" s="72"/>
      <c r="H88" s="72">
        <v>1000000</v>
      </c>
      <c r="I88" s="89" t="s">
        <v>37</v>
      </c>
      <c r="J88" s="89">
        <f>'inflation &amp; currencies'!$B$58/INDEX('inflation &amp; currencies'!$B:$B,MATCH(C88,'inflation &amp; currencies'!$A:$A,0))/INDEX('inflation &amp; currencies'!$C$3:$AV$58,MATCH(C88,'inflation &amp; currencies'!$A$3:$A$58,0),MATCH(D88,'inflation &amp; currencies'!$C$2:$AV$2,0))</f>
        <v>1.9152386456067707</v>
      </c>
      <c r="K88" s="72">
        <f t="shared" si="10"/>
        <v>3990.0805116807728</v>
      </c>
      <c r="L88" s="72"/>
      <c r="M88" s="72"/>
      <c r="N88" s="90" t="s">
        <v>265</v>
      </c>
      <c r="O88" s="72"/>
      <c r="Q88" s="89"/>
    </row>
    <row r="89" spans="2:37" ht="14.4" customHeight="1" x14ac:dyDescent="0.3">
      <c r="B89" s="68" t="s">
        <v>194</v>
      </c>
      <c r="C89" s="69">
        <v>1998</v>
      </c>
      <c r="D89" s="69" t="s">
        <v>77</v>
      </c>
      <c r="E89" s="69">
        <f>18*45</f>
        <v>810</v>
      </c>
      <c r="F89" s="69">
        <v>720000</v>
      </c>
      <c r="G89" s="69">
        <v>22000</v>
      </c>
      <c r="H89" s="69">
        <v>2650000</v>
      </c>
      <c r="I89" s="88" t="s">
        <v>37</v>
      </c>
      <c r="J89" s="88">
        <f>'inflation &amp; currencies'!$B$58/INDEX('inflation &amp; currencies'!$B:$B,MATCH(C89,'inflation &amp; currencies'!$A:$A,0))/INDEX('inflation &amp; currencies'!$C$3:$AV$58,MATCH(C89,'inflation &amp; currencies'!$A$3:$A$58,0),MATCH(I89,'inflation &amp; currencies'!$C$2:$AV$2,0))</f>
        <v>1.9160364704937138</v>
      </c>
      <c r="K89" s="69">
        <f t="shared" si="10"/>
        <v>6268.5143787757306</v>
      </c>
      <c r="L89" s="69">
        <f t="shared" ref="L89:L105" si="11">H89/F89*J89</f>
        <v>7.0520786761226963</v>
      </c>
      <c r="M89" s="69">
        <f>H89*J89/G89</f>
        <v>230.79530212765192</v>
      </c>
      <c r="N89" s="95" t="s">
        <v>228</v>
      </c>
      <c r="O89" s="95" t="s">
        <v>265</v>
      </c>
      <c r="P89" s="95"/>
      <c r="Q89" s="88" t="s">
        <v>139</v>
      </c>
      <c r="AB89" s="1"/>
      <c r="AC89" s="1"/>
      <c r="AF89" s="1">
        <f t="shared" ref="AF89:AG99" si="12">$D$126*($AH89/(AF$87/$AF$87))^($E$126)/AF$87*$I$126</f>
        <v>2550.2112735055553</v>
      </c>
      <c r="AG89" s="1">
        <f t="shared" si="12"/>
        <v>2322.5820851980861</v>
      </c>
      <c r="AH89" s="1">
        <f>10000</f>
        <v>10000</v>
      </c>
      <c r="AI89" s="1">
        <f t="shared" ref="AI89:AI99" si="13">$AH89*AF$87/(AF$87/$AF$87)</f>
        <v>300</v>
      </c>
      <c r="AJ89" s="1">
        <f t="shared" ref="AJ89:AJ99" si="14">$AH89*AG$87/(AG$87/$AF$87)</f>
        <v>299.99999999999994</v>
      </c>
      <c r="AK89" s="110" t="s">
        <v>181</v>
      </c>
    </row>
    <row r="90" spans="2:37" x14ac:dyDescent="0.3">
      <c r="B90" s="71" t="s">
        <v>195</v>
      </c>
      <c r="C90" s="72">
        <v>1998</v>
      </c>
      <c r="D90" s="72" t="s">
        <v>56</v>
      </c>
      <c r="E90" s="72">
        <f>2*150</f>
        <v>300</v>
      </c>
      <c r="F90" s="72">
        <v>24000</v>
      </c>
      <c r="G90" s="72">
        <v>1400</v>
      </c>
      <c r="H90" s="72">
        <v>1300000</v>
      </c>
      <c r="I90" s="89" t="s">
        <v>37</v>
      </c>
      <c r="J90" s="89">
        <f>'inflation &amp; currencies'!$B$58/INDEX('inflation &amp; currencies'!$B:$B,MATCH(C90,'inflation &amp; currencies'!$A:$A,0))/INDEX('inflation &amp; currencies'!$C$3:$AV$58,MATCH(C90,'inflation &amp; currencies'!$A$3:$A$58,0),MATCH(D90,'inflation &amp; currencies'!$C$2:$AV$2,0))</f>
        <v>1.8986045478213267</v>
      </c>
      <c r="K90" s="72">
        <f t="shared" si="10"/>
        <v>8227.2863738924152</v>
      </c>
      <c r="L90" s="72">
        <f t="shared" si="11"/>
        <v>102.84107967365519</v>
      </c>
      <c r="M90" s="72">
        <f>H90*J90/G90</f>
        <v>1762.9899372626605</v>
      </c>
      <c r="N90" s="90" t="s">
        <v>228</v>
      </c>
      <c r="O90" s="90" t="s">
        <v>265</v>
      </c>
      <c r="P90" s="90"/>
      <c r="Q90" s="89" t="s">
        <v>227</v>
      </c>
      <c r="R90" s="25"/>
      <c r="S90" s="25"/>
      <c r="T90" s="25"/>
      <c r="U90" s="25"/>
      <c r="AB90" s="1"/>
      <c r="AC90" s="1"/>
      <c r="AF90" s="1">
        <f t="shared" si="12"/>
        <v>860.54068585866753</v>
      </c>
      <c r="AG90" s="1">
        <f t="shared" si="12"/>
        <v>783.72972518939855</v>
      </c>
      <c r="AH90" s="1">
        <v>50000</v>
      </c>
      <c r="AI90" s="1">
        <f t="shared" si="13"/>
        <v>1500</v>
      </c>
      <c r="AJ90" s="1">
        <f t="shared" si="14"/>
        <v>1499.9999999999998</v>
      </c>
      <c r="AK90" s="110"/>
    </row>
    <row r="91" spans="2:37" x14ac:dyDescent="0.3">
      <c r="B91" s="68" t="s">
        <v>22</v>
      </c>
      <c r="C91" s="69">
        <v>1999</v>
      </c>
      <c r="D91" s="69" t="s">
        <v>62</v>
      </c>
      <c r="E91" s="69">
        <f>2*20</f>
        <v>40</v>
      </c>
      <c r="F91" s="69">
        <v>5266</v>
      </c>
      <c r="G91" s="69">
        <v>622</v>
      </c>
      <c r="H91" s="69">
        <v>1020000</v>
      </c>
      <c r="I91" s="88" t="s">
        <v>37</v>
      </c>
      <c r="J91" s="88">
        <f>'inflation &amp; currencies'!$B$58/INDEX('inflation &amp; currencies'!$B:$B,MATCH(C91,'inflation &amp; currencies'!$A:$A,0))/INDEX('inflation &amp; currencies'!$C$3:$AV$58,MATCH(C91,'inflation &amp; currencies'!$A$3:$A$58,0),MATCH(D91,'inflation &amp; currencies'!$C$2:$AV$2,0))</f>
        <v>1.8726558125187849</v>
      </c>
      <c r="K91" s="69">
        <f t="shared" si="10"/>
        <v>47752.723219229018</v>
      </c>
      <c r="L91" s="69">
        <f t="shared" si="11"/>
        <v>362.72482506060777</v>
      </c>
      <c r="M91" s="69">
        <f>H91*J91/G91</f>
        <v>3070.9146764777502</v>
      </c>
      <c r="N91" s="95" t="s">
        <v>251</v>
      </c>
      <c r="O91" s="95" t="s">
        <v>228</v>
      </c>
      <c r="P91" s="95" t="s">
        <v>265</v>
      </c>
      <c r="Q91" s="88" t="s">
        <v>227</v>
      </c>
      <c r="AB91" s="1"/>
      <c r="AC91" s="1"/>
      <c r="AF91" s="1">
        <f t="shared" si="12"/>
        <v>538.98435758218488</v>
      </c>
      <c r="AG91" s="1">
        <f t="shared" si="12"/>
        <v>490.87517811871004</v>
      </c>
      <c r="AH91" s="1">
        <v>100000</v>
      </c>
      <c r="AI91" s="1">
        <f t="shared" si="13"/>
        <v>3000</v>
      </c>
      <c r="AJ91" s="1">
        <f t="shared" si="14"/>
        <v>2999.9999999999995</v>
      </c>
      <c r="AK91" s="110"/>
    </row>
    <row r="92" spans="2:37" x14ac:dyDescent="0.3">
      <c r="B92" s="71" t="s">
        <v>90</v>
      </c>
      <c r="C92" s="72">
        <v>2000</v>
      </c>
      <c r="D92" s="72" t="s">
        <v>93</v>
      </c>
      <c r="E92" s="72">
        <f>2*65</f>
        <v>130</v>
      </c>
      <c r="F92" s="72">
        <v>525000</v>
      </c>
      <c r="G92" s="72">
        <v>6125</v>
      </c>
      <c r="H92" s="72">
        <v>700000</v>
      </c>
      <c r="I92" s="89" t="s">
        <v>37</v>
      </c>
      <c r="J92" s="89">
        <f>'inflation &amp; currencies'!$B$58/INDEX('inflation &amp; currencies'!$B:$B,MATCH(C92,'inflation &amp; currencies'!$A:$A,0))/INDEX('inflation &amp; currencies'!$C$3:$AV$58,MATCH(C92,'inflation &amp; currencies'!$A$3:$A$58,0),MATCH(D92,'inflation &amp; currencies'!$C$2:$AV$2,0))</f>
        <v>1.7957634620718812</v>
      </c>
      <c r="K92" s="72">
        <f t="shared" si="10"/>
        <v>9669.4955650024367</v>
      </c>
      <c r="L92" s="72">
        <f t="shared" si="11"/>
        <v>2.394351282762508</v>
      </c>
      <c r="M92" s="72">
        <f>H92*J92/G92</f>
        <v>205.23010995107214</v>
      </c>
      <c r="N92" s="90" t="s">
        <v>251</v>
      </c>
      <c r="O92" s="90" t="s">
        <v>228</v>
      </c>
      <c r="P92" s="90" t="s">
        <v>265</v>
      </c>
      <c r="Q92" s="89" t="s">
        <v>139</v>
      </c>
      <c r="AB92" s="1"/>
      <c r="AC92" s="1"/>
      <c r="AF92" s="1">
        <f t="shared" si="12"/>
        <v>256.75523920278317</v>
      </c>
      <c r="AG92" s="1">
        <f t="shared" si="12"/>
        <v>233.83753536364929</v>
      </c>
      <c r="AH92" s="1">
        <v>300000</v>
      </c>
      <c r="AI92" s="1">
        <f t="shared" si="13"/>
        <v>9000</v>
      </c>
      <c r="AJ92" s="1">
        <f t="shared" si="14"/>
        <v>8999.9999999999982</v>
      </c>
      <c r="AK92" s="110"/>
    </row>
    <row r="93" spans="2:37" x14ac:dyDescent="0.3">
      <c r="B93" s="68" t="s">
        <v>18</v>
      </c>
      <c r="C93" s="69">
        <v>2001</v>
      </c>
      <c r="D93" s="69" t="s">
        <v>66</v>
      </c>
      <c r="E93" s="69">
        <f>10*75</f>
        <v>750</v>
      </c>
      <c r="F93" s="69">
        <v>280000</v>
      </c>
      <c r="G93" s="69">
        <v>3900</v>
      </c>
      <c r="H93" s="69">
        <v>350000</v>
      </c>
      <c r="I93" s="88" t="s">
        <v>37</v>
      </c>
      <c r="J93" s="88">
        <f>'inflation &amp; currencies'!$B$58/INDEX('inflation &amp; currencies'!$B:$B,MATCH(C93,'inflation &amp; currencies'!$A:$A,0))/INDEX('inflation &amp; currencies'!$C$3:$AV$58,MATCH(C93,'inflation &amp; currencies'!$A$3:$A$58,0),MATCH(I93,'inflation &amp; currencies'!$C$2:$AV$2,0))</f>
        <v>1.7232150204854031</v>
      </c>
      <c r="K93" s="69">
        <f t="shared" si="10"/>
        <v>804.16700955985482</v>
      </c>
      <c r="L93" s="69">
        <f t="shared" si="11"/>
        <v>2.1540187756067537</v>
      </c>
      <c r="M93" s="69">
        <f>H93*J93/G93</f>
        <v>154.64750183843358</v>
      </c>
      <c r="N93" s="95" t="s">
        <v>228</v>
      </c>
      <c r="O93" s="95" t="s">
        <v>265</v>
      </c>
      <c r="P93" s="95"/>
      <c r="Q93" s="88" t="s">
        <v>139</v>
      </c>
      <c r="AB93" s="1"/>
      <c r="AC93" s="1"/>
      <c r="AF93" s="1">
        <f t="shared" si="12"/>
        <v>181.87433078958051</v>
      </c>
      <c r="AG93" s="1">
        <f t="shared" si="12"/>
        <v>165.64041843819811</v>
      </c>
      <c r="AH93" s="1">
        <v>500000</v>
      </c>
      <c r="AI93" s="1">
        <f t="shared" si="13"/>
        <v>15000</v>
      </c>
      <c r="AJ93" s="1">
        <f t="shared" si="14"/>
        <v>14999.999999999998</v>
      </c>
      <c r="AK93" s="110"/>
    </row>
    <row r="94" spans="2:37" x14ac:dyDescent="0.3">
      <c r="B94" s="71" t="s">
        <v>196</v>
      </c>
      <c r="C94" s="72">
        <v>2002</v>
      </c>
      <c r="D94" s="72" t="s">
        <v>91</v>
      </c>
      <c r="E94" s="72">
        <f>5*60</f>
        <v>300</v>
      </c>
      <c r="F94" s="72"/>
      <c r="G94" s="72"/>
      <c r="H94" s="72">
        <v>220000</v>
      </c>
      <c r="I94" s="89" t="s">
        <v>37</v>
      </c>
      <c r="J94" s="89">
        <f>'inflation &amp; currencies'!$B$58/INDEX('inflation &amp; currencies'!$B:$B,MATCH(C94,'inflation &amp; currencies'!$A:$A,0))/INDEX('inflation &amp; currencies'!$C$3:$AV$58,MATCH(C94,'inflation &amp; currencies'!$A$3:$A$58,0),MATCH(D94,'inflation &amp; currencies'!$C$2:$AV$2,0))</f>
        <v>1.124297062892867</v>
      </c>
      <c r="K94" s="72">
        <f t="shared" si="10"/>
        <v>824.48451278810251</v>
      </c>
      <c r="L94" s="72"/>
      <c r="M94" s="72"/>
      <c r="N94" s="90" t="s">
        <v>265</v>
      </c>
      <c r="O94" s="90"/>
      <c r="P94" s="90"/>
      <c r="Q94" s="89"/>
      <c r="AB94" s="1"/>
      <c r="AC94" s="1"/>
      <c r="AF94" s="1">
        <f t="shared" si="12"/>
        <v>86.639225517049212</v>
      </c>
      <c r="AG94" s="1">
        <f t="shared" si="12"/>
        <v>78.905898955080062</v>
      </c>
      <c r="AH94" s="1">
        <v>1500000</v>
      </c>
      <c r="AI94" s="1">
        <f t="shared" si="13"/>
        <v>45000</v>
      </c>
      <c r="AJ94" s="1">
        <f t="shared" si="14"/>
        <v>44999.999999999993</v>
      </c>
      <c r="AK94" s="110"/>
    </row>
    <row r="95" spans="2:37" x14ac:dyDescent="0.3">
      <c r="B95" s="68" t="s">
        <v>197</v>
      </c>
      <c r="C95" s="69">
        <v>2003</v>
      </c>
      <c r="D95" s="69" t="s">
        <v>93</v>
      </c>
      <c r="E95" s="69">
        <f>2*67</f>
        <v>134</v>
      </c>
      <c r="F95" s="69">
        <v>61000</v>
      </c>
      <c r="G95" s="69"/>
      <c r="H95" s="69">
        <v>340000</v>
      </c>
      <c r="I95" s="88" t="s">
        <v>37</v>
      </c>
      <c r="J95" s="88">
        <f>'inflation &amp; currencies'!$B$58/INDEX('inflation &amp; currencies'!$B:$B,MATCH(C95,'inflation &amp; currencies'!$A:$A,0))/INDEX('inflation &amp; currencies'!$C$3:$AV$58,MATCH(C95,'inflation &amp; currencies'!$A$3:$A$58,0),MATCH(D95,'inflation &amp; currencies'!$C$2:$AV$2,0))</f>
        <v>1.7144980996236034</v>
      </c>
      <c r="K95" s="69">
        <f t="shared" si="10"/>
        <v>4350.2190587464565</v>
      </c>
      <c r="L95" s="69">
        <f t="shared" si="11"/>
        <v>9.5562189159348385</v>
      </c>
      <c r="M95" s="69"/>
      <c r="N95" s="95" t="s">
        <v>265</v>
      </c>
      <c r="O95" s="95"/>
      <c r="P95" s="95"/>
      <c r="Q95" s="88"/>
      <c r="AB95" s="1"/>
      <c r="AC95" s="1"/>
      <c r="AF95" s="1">
        <f t="shared" si="12"/>
        <v>54.264938397571846</v>
      </c>
      <c r="AG95" s="1">
        <f t="shared" si="12"/>
        <v>49.421306809348764</v>
      </c>
      <c r="AH95" s="1">
        <v>3000000</v>
      </c>
      <c r="AI95" s="1">
        <f t="shared" si="13"/>
        <v>90000</v>
      </c>
      <c r="AJ95" s="1">
        <f t="shared" si="14"/>
        <v>89999.999999999985</v>
      </c>
      <c r="AK95" s="110"/>
    </row>
    <row r="96" spans="2:37" x14ac:dyDescent="0.3">
      <c r="B96" s="71" t="s">
        <v>198</v>
      </c>
      <c r="C96" s="72">
        <v>2008</v>
      </c>
      <c r="D96" s="72" t="s">
        <v>145</v>
      </c>
      <c r="E96" s="72">
        <f>6*60</f>
        <v>360</v>
      </c>
      <c r="F96" s="72">
        <v>325000</v>
      </c>
      <c r="G96" s="72">
        <v>2025</v>
      </c>
      <c r="H96" s="72">
        <v>2600000</v>
      </c>
      <c r="I96" s="89" t="s">
        <v>37</v>
      </c>
      <c r="J96" s="89">
        <f>'inflation &amp; currencies'!$B$58/INDEX('inflation &amp; currencies'!$B:$B,MATCH(C96,'inflation &amp; currencies'!$A:$A,0))/INDEX('inflation &amp; currencies'!$C$3:$AV$58,MATCH(C96,'inflation &amp; currencies'!$A$3:$A$58,0),MATCH(D96,'inflation &amp; currencies'!$C$2:$AV$2,0))</f>
        <v>1.1464824612306155</v>
      </c>
      <c r="K96" s="72">
        <f t="shared" si="10"/>
        <v>8280.1511088877796</v>
      </c>
      <c r="L96" s="72">
        <f t="shared" si="11"/>
        <v>9.1718596898449238</v>
      </c>
      <c r="M96" s="72">
        <f>H96*J96/G96</f>
        <v>1472.0268638022717</v>
      </c>
      <c r="N96" s="90" t="s">
        <v>228</v>
      </c>
      <c r="O96" s="90" t="s">
        <v>265</v>
      </c>
      <c r="P96" s="90"/>
      <c r="Q96" s="89" t="s">
        <v>139</v>
      </c>
      <c r="AB96" s="1"/>
      <c r="AC96" s="1"/>
      <c r="AF96" s="1">
        <f t="shared" si="12"/>
        <v>41.272209033602451</v>
      </c>
      <c r="AG96" s="1">
        <f t="shared" si="12"/>
        <v>37.588294865557479</v>
      </c>
      <c r="AH96" s="1">
        <v>4500000</v>
      </c>
      <c r="AI96" s="1">
        <f t="shared" si="13"/>
        <v>135000</v>
      </c>
      <c r="AJ96" s="1">
        <f t="shared" si="14"/>
        <v>134999.99999999997</v>
      </c>
      <c r="AK96" s="110"/>
    </row>
    <row r="97" spans="2:39" x14ac:dyDescent="0.3">
      <c r="B97" s="68" t="s">
        <v>199</v>
      </c>
      <c r="C97" s="69">
        <v>2009</v>
      </c>
      <c r="D97" s="69" t="s">
        <v>66</v>
      </c>
      <c r="E97" s="69">
        <f>11*20</f>
        <v>220</v>
      </c>
      <c r="F97" s="69">
        <v>1150000</v>
      </c>
      <c r="G97" s="69">
        <v>20000</v>
      </c>
      <c r="H97" s="69">
        <v>5000000</v>
      </c>
      <c r="I97" s="88" t="s">
        <v>37</v>
      </c>
      <c r="J97" s="88">
        <f>'inflation &amp; currencies'!$B$58/INDEX('inflation &amp; currencies'!$B:$B,MATCH(C97,'inflation &amp; currencies'!$A:$A,0))/INDEX('inflation &amp; currencies'!$C$3:$AV$58,MATCH(C97,'inflation &amp; currencies'!$A$3:$A$58,0),MATCH(I97,'inflation &amp; currencies'!$C$2:$AV$2,0))</f>
        <v>1.6146291838330142</v>
      </c>
      <c r="K97" s="69">
        <f t="shared" si="10"/>
        <v>36696.117814386685</v>
      </c>
      <c r="L97" s="69">
        <f t="shared" si="11"/>
        <v>7.0201268862304964</v>
      </c>
      <c r="M97" s="69">
        <f>H97*J97/G97</f>
        <v>403.65729595825354</v>
      </c>
      <c r="N97" s="95" t="s">
        <v>228</v>
      </c>
      <c r="O97" s="95" t="s">
        <v>265</v>
      </c>
      <c r="P97" s="95"/>
      <c r="Q97" s="88" t="s">
        <v>139</v>
      </c>
      <c r="AB97" s="1"/>
      <c r="AC97" s="1"/>
      <c r="AF97" s="1">
        <f t="shared" si="12"/>
        <v>33.987879297383614</v>
      </c>
      <c r="AG97" s="1">
        <f t="shared" si="12"/>
        <v>30.954156775201835</v>
      </c>
      <c r="AH97" s="1">
        <v>6000000</v>
      </c>
      <c r="AI97" s="1">
        <f t="shared" si="13"/>
        <v>180000</v>
      </c>
      <c r="AJ97" s="1">
        <f t="shared" si="14"/>
        <v>179999.99999999997</v>
      </c>
      <c r="AK97" s="110"/>
    </row>
    <row r="98" spans="2:39" x14ac:dyDescent="0.3">
      <c r="B98" s="71" t="s">
        <v>225</v>
      </c>
      <c r="C98" s="72">
        <v>2010</v>
      </c>
      <c r="D98" s="72" t="s">
        <v>67</v>
      </c>
      <c r="E98" s="72">
        <f>10*110</f>
        <v>1100</v>
      </c>
      <c r="F98" s="72"/>
      <c r="G98" s="72"/>
      <c r="H98" s="72">
        <v>8000000</v>
      </c>
      <c r="I98" s="89" t="s">
        <v>37</v>
      </c>
      <c r="J98" s="89">
        <f>'inflation &amp; currencies'!$B$58/INDEX('inflation &amp; currencies'!$B:$B,MATCH(C98,'inflation &amp; currencies'!$A:$A,0))/INDEX('inflation &amp; currencies'!$C$3:$AV$58,MATCH(C98,'inflation &amp; currencies'!$A$3:$A$58,0),MATCH(I98,'inflation &amp; currencies'!$C$2:$AV$2,0))</f>
        <v>1.4605971495713184</v>
      </c>
      <c r="K98" s="72">
        <f t="shared" si="10"/>
        <v>10622.524724155042</v>
      </c>
      <c r="L98" s="72"/>
      <c r="M98" s="72"/>
      <c r="N98" s="90" t="s">
        <v>265</v>
      </c>
      <c r="O98" s="90"/>
      <c r="P98" s="90"/>
      <c r="Q98" s="89"/>
      <c r="AB98" s="1"/>
      <c r="AC98" s="1"/>
      <c r="AF98" s="1">
        <f t="shared" si="12"/>
        <v>30.629152788261486</v>
      </c>
      <c r="AG98" s="1">
        <f t="shared" si="12"/>
        <v>27.895226677836281</v>
      </c>
      <c r="AH98" s="1">
        <v>7000000</v>
      </c>
      <c r="AI98" s="1">
        <f t="shared" si="13"/>
        <v>210000</v>
      </c>
      <c r="AJ98" s="1">
        <f t="shared" si="14"/>
        <v>209999.99999999997</v>
      </c>
      <c r="AK98" s="110"/>
    </row>
    <row r="99" spans="2:39" x14ac:dyDescent="0.3">
      <c r="B99" s="68" t="s">
        <v>156</v>
      </c>
      <c r="C99" s="69">
        <v>2002</v>
      </c>
      <c r="D99" s="69" t="s">
        <v>56</v>
      </c>
      <c r="E99" s="69">
        <f>36*80</f>
        <v>2880</v>
      </c>
      <c r="F99" s="69">
        <v>5400000</v>
      </c>
      <c r="G99" s="69"/>
      <c r="H99" s="69">
        <v>14700000</v>
      </c>
      <c r="I99" s="88" t="s">
        <v>37</v>
      </c>
      <c r="J99" s="88">
        <f>'inflation &amp; currencies'!$B$58/INDEX('inflation &amp; currencies'!$B:$B,MATCH(C99,'inflation &amp; currencies'!$A:$A,0))/INDEX('inflation &amp; currencies'!$C$3:$AV$58,MATCH(C99,'inflation &amp; currencies'!$A$3:$A$58,0),MATCH(D99,'inflation &amp; currencies'!$C$2:$AV$2,0))</f>
        <v>1.6694405158162655</v>
      </c>
      <c r="K99" s="69">
        <f t="shared" si="10"/>
        <v>8521.1026328121898</v>
      </c>
      <c r="L99" s="69">
        <f t="shared" si="11"/>
        <v>4.544588070833167</v>
      </c>
      <c r="M99" s="69"/>
      <c r="N99" s="95" t="s">
        <v>209</v>
      </c>
      <c r="O99" s="95"/>
      <c r="P99" s="95"/>
      <c r="Q99" s="88"/>
      <c r="AB99" s="1"/>
      <c r="AC99" s="1"/>
      <c r="AF99" s="1">
        <f t="shared" si="12"/>
        <v>29.235451714641226</v>
      </c>
      <c r="AG99" s="1">
        <f t="shared" si="12"/>
        <v>26.625925902900082</v>
      </c>
      <c r="AH99" s="1">
        <v>7500000</v>
      </c>
      <c r="AI99" s="1">
        <f t="shared" si="13"/>
        <v>225000</v>
      </c>
      <c r="AJ99" s="1">
        <f t="shared" si="14"/>
        <v>224999.99999999997</v>
      </c>
      <c r="AK99" s="110"/>
    </row>
    <row r="100" spans="2:39" x14ac:dyDescent="0.3">
      <c r="B100" s="71" t="s">
        <v>222</v>
      </c>
      <c r="C100" s="72">
        <v>2011</v>
      </c>
      <c r="D100" s="72" t="s">
        <v>92</v>
      </c>
      <c r="E100" s="72">
        <f>2*60</f>
        <v>120</v>
      </c>
      <c r="F100" s="72"/>
      <c r="G100" s="72"/>
      <c r="H100" s="72">
        <v>300000</v>
      </c>
      <c r="I100" s="89" t="s">
        <v>37</v>
      </c>
      <c r="J100" s="89">
        <f>'inflation &amp; currencies'!$B$58/INDEX('inflation &amp; currencies'!$B:$B,MATCH(C100,'inflation &amp; currencies'!$A:$A,0))/INDEX('inflation &amp; currencies'!$C$3:$AV$58,MATCH(C100,'inflation &amp; currencies'!$A$3:$A$58,0),MATCH(D100,'inflation &amp; currencies'!$C$2:$AV$2,0))</f>
        <v>1.5000965518382943</v>
      </c>
      <c r="K100" s="72">
        <f t="shared" si="10"/>
        <v>3750.2413795957355</v>
      </c>
      <c r="L100" s="72"/>
      <c r="M100" s="72"/>
      <c r="N100" s="90" t="s">
        <v>209</v>
      </c>
      <c r="O100" s="90"/>
      <c r="P100" s="90"/>
      <c r="Q100" s="89"/>
    </row>
    <row r="101" spans="2:39" x14ac:dyDescent="0.3">
      <c r="B101" s="68" t="s">
        <v>223</v>
      </c>
      <c r="C101" s="69">
        <v>2013</v>
      </c>
      <c r="D101" s="69" t="s">
        <v>92</v>
      </c>
      <c r="E101" s="69">
        <f>8*70</f>
        <v>560</v>
      </c>
      <c r="F101" s="69"/>
      <c r="G101" s="69"/>
      <c r="H101" s="69">
        <v>2500000</v>
      </c>
      <c r="I101" s="88" t="s">
        <v>37</v>
      </c>
      <c r="J101" s="88">
        <f>'inflation &amp; currencies'!$B$58/INDEX('inflation &amp; currencies'!$B:$B,MATCH(C101,'inflation &amp; currencies'!$A:$A,0))/INDEX('inflation &amp; currencies'!$C$3:$AV$58,MATCH(C101,'inflation &amp; currencies'!$A$3:$A$58,0),MATCH(D101,'inflation &amp; currencies'!$C$2:$AV$2,0))</f>
        <v>1.5415791889138719</v>
      </c>
      <c r="K101" s="69">
        <f t="shared" si="10"/>
        <v>6882.0499505083571</v>
      </c>
      <c r="L101" s="69"/>
      <c r="M101" s="69"/>
      <c r="N101" s="95" t="s">
        <v>209</v>
      </c>
      <c r="O101" s="95"/>
      <c r="P101" s="95"/>
      <c r="Q101" s="88"/>
    </row>
    <row r="102" spans="2:39" x14ac:dyDescent="0.3">
      <c r="B102" s="71" t="s">
        <v>224</v>
      </c>
      <c r="C102" s="72">
        <v>2015</v>
      </c>
      <c r="D102" s="72" t="s">
        <v>67</v>
      </c>
      <c r="E102" s="72">
        <f>10*110</f>
        <v>1100</v>
      </c>
      <c r="F102" s="72">
        <v>1500000</v>
      </c>
      <c r="G102" s="72">
        <v>22000</v>
      </c>
      <c r="H102" s="72">
        <v>11000000</v>
      </c>
      <c r="I102" s="89" t="s">
        <v>37</v>
      </c>
      <c r="J102" s="89">
        <f>'inflation &amp; currencies'!$B$58/INDEX('inflation &amp; currencies'!$B:$B,MATCH(C102,'inflation &amp; currencies'!$A:$A,0))/INDEX('inflation &amp; currencies'!$C$3:$AV$58,MATCH(C102,'inflation &amp; currencies'!$A$3:$A$58,0),MATCH(D102,'inflation &amp; currencies'!$C$2:$AV$2,0))</f>
        <v>0.15395697504921335</v>
      </c>
      <c r="K102" s="72">
        <f t="shared" si="10"/>
        <v>1539.5697504921336</v>
      </c>
      <c r="L102" s="72">
        <f t="shared" si="11"/>
        <v>1.1290178170275644</v>
      </c>
      <c r="M102" s="72">
        <f>H102*J102/G102</f>
        <v>76.978487524606678</v>
      </c>
      <c r="N102" s="90" t="s">
        <v>228</v>
      </c>
      <c r="O102" s="90" t="s">
        <v>209</v>
      </c>
      <c r="P102" s="90"/>
      <c r="Q102" s="89" t="s">
        <v>139</v>
      </c>
    </row>
    <row r="103" spans="2:39" x14ac:dyDescent="0.3">
      <c r="B103" s="68" t="s">
        <v>246</v>
      </c>
      <c r="C103" s="69">
        <v>1985</v>
      </c>
      <c r="D103" s="69" t="s">
        <v>66</v>
      </c>
      <c r="E103" s="69"/>
      <c r="F103" s="69">
        <v>100000</v>
      </c>
      <c r="G103" s="69">
        <v>1800</v>
      </c>
      <c r="H103" s="69">
        <v>330000</v>
      </c>
      <c r="I103" s="88" t="s">
        <v>37</v>
      </c>
      <c r="J103" s="88">
        <v>1.0393778187279816</v>
      </c>
      <c r="K103" s="69"/>
      <c r="L103" s="69">
        <f t="shared" si="11"/>
        <v>3.4299468018023394</v>
      </c>
      <c r="M103" s="69">
        <f>H103*J103/G103</f>
        <v>190.55260010012998</v>
      </c>
      <c r="N103" s="95" t="s">
        <v>228</v>
      </c>
      <c r="O103" s="69"/>
      <c r="P103" s="69"/>
      <c r="Q103" s="88" t="s">
        <v>139</v>
      </c>
    </row>
    <row r="104" spans="2:39" x14ac:dyDescent="0.3">
      <c r="B104" s="71" t="s">
        <v>247</v>
      </c>
      <c r="C104" s="72">
        <v>1987</v>
      </c>
      <c r="D104" s="72" t="s">
        <v>66</v>
      </c>
      <c r="E104" s="72"/>
      <c r="F104" s="72">
        <v>640000</v>
      </c>
      <c r="G104" s="72">
        <v>5200</v>
      </c>
      <c r="H104" s="72">
        <v>1400000</v>
      </c>
      <c r="I104" s="89" t="s">
        <v>37</v>
      </c>
      <c r="J104" s="89">
        <v>1.0393778187279816</v>
      </c>
      <c r="K104" s="72"/>
      <c r="L104" s="72">
        <f t="shared" si="11"/>
        <v>2.27363897846746</v>
      </c>
      <c r="M104" s="72">
        <f>H104*J104/G104</f>
        <v>279.83248965753347</v>
      </c>
      <c r="N104" s="90" t="s">
        <v>228</v>
      </c>
      <c r="O104" s="72"/>
      <c r="P104" s="72"/>
      <c r="Q104" s="89" t="s">
        <v>139</v>
      </c>
    </row>
    <row r="105" spans="2:39" x14ac:dyDescent="0.3">
      <c r="B105" s="68" t="s">
        <v>248</v>
      </c>
      <c r="C105" s="69">
        <v>2021</v>
      </c>
      <c r="D105" s="69" t="s">
        <v>56</v>
      </c>
      <c r="E105" s="69"/>
      <c r="F105" s="69">
        <v>650000</v>
      </c>
      <c r="G105" s="69">
        <v>28000</v>
      </c>
      <c r="H105" s="69">
        <v>5750000</v>
      </c>
      <c r="I105" s="88" t="s">
        <v>37</v>
      </c>
      <c r="J105" s="88">
        <v>1.0393778187279816</v>
      </c>
      <c r="K105" s="69"/>
      <c r="L105" s="69">
        <f t="shared" si="11"/>
        <v>9.1944960887475311</v>
      </c>
      <c r="M105" s="69">
        <f>H105*J105/G105</f>
        <v>213.44365920306765</v>
      </c>
      <c r="N105" s="95" t="s">
        <v>228</v>
      </c>
      <c r="O105" s="69"/>
      <c r="P105" s="69"/>
      <c r="Q105" s="88" t="s">
        <v>227</v>
      </c>
    </row>
    <row r="106" spans="2:39" x14ac:dyDescent="0.3">
      <c r="C106" s="1"/>
    </row>
    <row r="107" spans="2:39" x14ac:dyDescent="0.3">
      <c r="C107" s="1"/>
    </row>
    <row r="109" spans="2:39" ht="46.2" x14ac:dyDescent="0.85">
      <c r="B109" s="103" t="s">
        <v>231</v>
      </c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3"/>
      <c r="AM109" s="103"/>
    </row>
    <row r="111" spans="2:39" ht="16.2" x14ac:dyDescent="0.3">
      <c r="B111" s="101" t="s">
        <v>232</v>
      </c>
      <c r="C111" s="101"/>
      <c r="D111" s="101"/>
      <c r="E111" s="101"/>
      <c r="F111" s="101"/>
      <c r="G111" s="101"/>
      <c r="H111" s="101"/>
      <c r="I111" s="101"/>
      <c r="J111" s="101"/>
      <c r="K111" s="101"/>
    </row>
    <row r="112" spans="2:39" x14ac:dyDescent="0.3">
      <c r="B112" t="s">
        <v>31</v>
      </c>
      <c r="C112" t="s">
        <v>33</v>
      </c>
      <c r="D112" t="s">
        <v>178</v>
      </c>
      <c r="E112" t="s">
        <v>180</v>
      </c>
      <c r="F112" t="s">
        <v>179</v>
      </c>
      <c r="G112" t="s">
        <v>36</v>
      </c>
      <c r="H112" t="s">
        <v>39</v>
      </c>
      <c r="I112" t="s">
        <v>159</v>
      </c>
      <c r="J112" t="s">
        <v>34</v>
      </c>
      <c r="K112" t="s">
        <v>35</v>
      </c>
    </row>
    <row r="113" spans="2:27" x14ac:dyDescent="0.3">
      <c r="B113" t="s">
        <v>43</v>
      </c>
      <c r="C113" t="s">
        <v>29</v>
      </c>
      <c r="D113" s="5">
        <v>1840000</v>
      </c>
      <c r="E113">
        <v>-1</v>
      </c>
      <c r="F113">
        <v>42</v>
      </c>
      <c r="G113" t="s">
        <v>37</v>
      </c>
      <c r="H113">
        <v>2020</v>
      </c>
      <c r="I113" s="9">
        <f>'inflation &amp; currencies'!$B$58/INDEX('inflation &amp; currencies'!$B:$B,MATCH(Tabelle3[[#This Row],[year]],'inflation &amp; currencies'!$A:$A,0))/INDEX('inflation &amp; currencies'!$C$3:$AV$58,MATCH(Tabelle3[[#This Row],[year]],'inflation &amp; currencies'!$A$3:$A$58,0),MATCH(Tabelle3[[#This Row],[currency]],'inflation &amp; currencies'!$C$2:$AV$2,0))</f>
        <v>1.1467267663134659</v>
      </c>
      <c r="J113" s="2" t="s">
        <v>44</v>
      </c>
    </row>
    <row r="114" spans="2:27" x14ac:dyDescent="0.3">
      <c r="B114" t="s">
        <v>48</v>
      </c>
      <c r="C114" t="s">
        <v>29</v>
      </c>
      <c r="D114">
        <v>2267</v>
      </c>
      <c r="E114">
        <v>-0.374</v>
      </c>
      <c r="F114">
        <v>0</v>
      </c>
      <c r="G114" t="s">
        <v>37</v>
      </c>
      <c r="H114">
        <v>2017</v>
      </c>
      <c r="I114" s="9">
        <f>'inflation &amp; currencies'!$B$58/INDEX('inflation &amp; currencies'!$B:$B,MATCH(Tabelle3[[#This Row],[year]],'inflation &amp; currencies'!$A:$A,0))/INDEX('inflation &amp; currencies'!$C$3:$AV$58,MATCH(Tabelle3[[#This Row],[year]],'inflation &amp; currencies'!$A$3:$A$58,0),MATCH(Tabelle3[[#This Row],[currency]],'inflation &amp; currencies'!$C$2:$AV$2,0))</f>
        <v>1.1960428085442292</v>
      </c>
      <c r="J114" s="2" t="s">
        <v>47</v>
      </c>
      <c r="K114" s="2" t="s">
        <v>49</v>
      </c>
    </row>
    <row r="115" spans="2:27" x14ac:dyDescent="0.3">
      <c r="B115" t="s">
        <v>48</v>
      </c>
      <c r="C115" t="s">
        <v>30</v>
      </c>
      <c r="D115">
        <v>5295</v>
      </c>
      <c r="E115">
        <v>-0.435</v>
      </c>
      <c r="F115">
        <v>0</v>
      </c>
      <c r="G115" t="s">
        <v>37</v>
      </c>
      <c r="H115">
        <v>2017</v>
      </c>
      <c r="I115" s="9">
        <f>'inflation &amp; currencies'!$B$58/INDEX('inflation &amp; currencies'!$B:$B,MATCH(Tabelle3[[#This Row],[year]],'inflation &amp; currencies'!$A:$A,0))/INDEX('inflation &amp; currencies'!$C$3:$AV$58,MATCH(Tabelle3[[#This Row],[year]],'inflation &amp; currencies'!$A$3:$A$58,0),MATCH(Tabelle3[[#This Row],[currency]],'inflation &amp; currencies'!$C$2:$AV$2,0))</f>
        <v>1.1960428085442292</v>
      </c>
      <c r="J115" s="2" t="s">
        <v>47</v>
      </c>
      <c r="K115" s="2" t="s">
        <v>49</v>
      </c>
    </row>
    <row r="116" spans="2:27" x14ac:dyDescent="0.3">
      <c r="B116" t="s">
        <v>48</v>
      </c>
      <c r="C116" t="s">
        <v>27</v>
      </c>
      <c r="D116">
        <v>146.69999999999999</v>
      </c>
      <c r="E116">
        <v>-9.8000000000000004E-2</v>
      </c>
      <c r="F116">
        <v>0</v>
      </c>
      <c r="G116" t="s">
        <v>37</v>
      </c>
      <c r="H116">
        <v>2017</v>
      </c>
      <c r="I116" s="9">
        <f>'inflation &amp; currencies'!$B$58/INDEX('inflation &amp; currencies'!$B:$B,MATCH(Tabelle3[[#This Row],[year]],'inflation &amp; currencies'!$A:$A,0))/INDEX('inflation &amp; currencies'!$C$3:$AV$58,MATCH(Tabelle3[[#This Row],[year]],'inflation &amp; currencies'!$A$3:$A$58,0),MATCH(Tabelle3[[#This Row],[currency]],'inflation &amp; currencies'!$C$2:$AV$2,0))</f>
        <v>1.1960428085442292</v>
      </c>
      <c r="J116" s="2" t="s">
        <v>47</v>
      </c>
    </row>
    <row r="117" spans="2:27" x14ac:dyDescent="0.3">
      <c r="B117" t="s">
        <v>48</v>
      </c>
      <c r="C117" t="s">
        <v>28</v>
      </c>
      <c r="D117">
        <v>16726</v>
      </c>
      <c r="E117">
        <v>-0.64900000000000002</v>
      </c>
      <c r="F117">
        <v>0</v>
      </c>
      <c r="G117" t="s">
        <v>37</v>
      </c>
      <c r="H117">
        <v>2017</v>
      </c>
      <c r="I117" s="9">
        <f>'inflation &amp; currencies'!$B$58/INDEX('inflation &amp; currencies'!$B:$B,MATCH(Tabelle3[[#This Row],[year]],'inflation &amp; currencies'!$A:$A,0))/INDEX('inflation &amp; currencies'!$C$3:$AV$58,MATCH(Tabelle3[[#This Row],[year]],'inflation &amp; currencies'!$A$3:$A$58,0),MATCH(Tabelle3[[#This Row],[currency]],'inflation &amp; currencies'!$C$2:$AV$2,0))</f>
        <v>1.1960428085442292</v>
      </c>
      <c r="J117" s="2" t="s">
        <v>47</v>
      </c>
      <c r="K117" s="2"/>
    </row>
    <row r="118" spans="2:27" x14ac:dyDescent="0.3">
      <c r="B118" t="s">
        <v>43</v>
      </c>
      <c r="C118" t="s">
        <v>30</v>
      </c>
      <c r="D118">
        <v>7450</v>
      </c>
      <c r="E118">
        <v>-0.47</v>
      </c>
      <c r="F118">
        <v>0</v>
      </c>
      <c r="G118" t="s">
        <v>37</v>
      </c>
      <c r="H118">
        <v>2020</v>
      </c>
      <c r="I118" s="9">
        <f>'inflation &amp; currencies'!$B$58/INDEX('inflation &amp; currencies'!$B:$B,MATCH(Tabelle3[[#This Row],[year]],'inflation &amp; currencies'!$A:$A,0))/INDEX('inflation &amp; currencies'!$C$3:$AV$58,MATCH(Tabelle3[[#This Row],[year]],'inflation &amp; currencies'!$A$3:$A$58,0),MATCH(Tabelle3[[#This Row],[currency]],'inflation &amp; currencies'!$C$2:$AV$2,0))</f>
        <v>1.1467267663134659</v>
      </c>
      <c r="J118" s="2" t="s">
        <v>44</v>
      </c>
    </row>
    <row r="119" spans="2:27" x14ac:dyDescent="0.3">
      <c r="B119" t="s">
        <v>53</v>
      </c>
      <c r="C119" t="s">
        <v>29</v>
      </c>
      <c r="D119">
        <v>15630</v>
      </c>
      <c r="E119">
        <v>-0.61560000000000004</v>
      </c>
      <c r="F119">
        <v>25</v>
      </c>
      <c r="G119" t="s">
        <v>37</v>
      </c>
      <c r="H119">
        <v>2016</v>
      </c>
      <c r="I119" s="9">
        <f>'inflation &amp; currencies'!$B$58/INDEX('inflation &amp; currencies'!$B:$B,MATCH(Tabelle3[[#This Row],[year]],'inflation &amp; currencies'!$A:$A,0))/INDEX('inflation &amp; currencies'!$C$3:$AV$58,MATCH(Tabelle3[[#This Row],[year]],'inflation &amp; currencies'!$A$3:$A$58,0),MATCH(Tabelle3[[#This Row],[currency]],'inflation &amp; currencies'!$C$2:$AV$2,0))</f>
        <v>1.1787526225356146</v>
      </c>
      <c r="J119" s="2" t="s">
        <v>52</v>
      </c>
    </row>
    <row r="120" spans="2:27" x14ac:dyDescent="0.3">
      <c r="B120" t="s">
        <v>53</v>
      </c>
      <c r="C120" t="s">
        <v>30</v>
      </c>
      <c r="D120">
        <v>11680</v>
      </c>
      <c r="E120">
        <v>-0.55449999999999999</v>
      </c>
      <c r="F120">
        <v>130</v>
      </c>
      <c r="G120" t="s">
        <v>37</v>
      </c>
      <c r="H120">
        <v>2016</v>
      </c>
      <c r="I120" s="9">
        <f>'inflation &amp; currencies'!$B$58/INDEX('inflation &amp; currencies'!$B:$B,MATCH(Tabelle3[[#This Row],[year]],'inflation &amp; currencies'!$A:$A,0))/INDEX('inflation &amp; currencies'!$C$3:$AV$58,MATCH(Tabelle3[[#This Row],[year]],'inflation &amp; currencies'!$A$3:$A$58,0),MATCH(Tabelle3[[#This Row],[currency]],'inflation &amp; currencies'!$C$2:$AV$2,0))</f>
        <v>1.1787526225356146</v>
      </c>
      <c r="J120" s="2" t="s">
        <v>52</v>
      </c>
      <c r="K120" t="s">
        <v>177</v>
      </c>
    </row>
    <row r="121" spans="2:27" x14ac:dyDescent="0.3">
      <c r="B121" t="s">
        <v>53</v>
      </c>
      <c r="C121" t="s">
        <v>28</v>
      </c>
      <c r="D121">
        <v>25330</v>
      </c>
      <c r="E121">
        <v>-0.68500000000000005</v>
      </c>
      <c r="F121">
        <v>30</v>
      </c>
      <c r="G121" t="s">
        <v>37</v>
      </c>
      <c r="H121">
        <v>2016</v>
      </c>
      <c r="I121" s="9">
        <f>'inflation &amp; currencies'!$B$58/INDEX('inflation &amp; currencies'!$B:$B,MATCH(Tabelle3[[#This Row],[year]],'inflation &amp; currencies'!$A:$A,0))/INDEX('inflation &amp; currencies'!$C$3:$AV$58,MATCH(Tabelle3[[#This Row],[year]],'inflation &amp; currencies'!$A$3:$A$58,0),MATCH(Tabelle3[[#This Row],[currency]],'inflation &amp; currencies'!$C$2:$AV$2,0))</f>
        <v>1.1787526225356146</v>
      </c>
      <c r="J121" s="2" t="s">
        <v>52</v>
      </c>
    </row>
    <row r="122" spans="2:27" x14ac:dyDescent="0.3">
      <c r="B122" t="s">
        <v>218</v>
      </c>
      <c r="C122" t="s">
        <v>29</v>
      </c>
      <c r="D122">
        <v>8386.6839999999993</v>
      </c>
      <c r="E122">
        <v>-0.42399999999999999</v>
      </c>
      <c r="F122">
        <v>0</v>
      </c>
      <c r="G122" t="s">
        <v>145</v>
      </c>
      <c r="H122">
        <v>2025</v>
      </c>
      <c r="I122" s="9">
        <f>'inflation &amp; currencies'!$B$58/INDEX('inflation &amp; currencies'!$B:$B,MATCH(Tabelle3[[#This Row],[year]],'inflation &amp; currencies'!$A:$A,0))/INDEX('inflation &amp; currencies'!$C$3:$AV$58,MATCH(Tabelle3[[#This Row],[year]],'inflation &amp; currencies'!$A$3:$A$58,0),MATCH(Tabelle3[[#This Row],[currency]],'inflation &amp; currencies'!$C$2:$AV$2,0))</f>
        <v>0.83135583333333296</v>
      </c>
      <c r="J122" s="2" t="s">
        <v>209</v>
      </c>
    </row>
    <row r="123" spans="2:27" x14ac:dyDescent="0.3">
      <c r="B123" t="s">
        <v>181</v>
      </c>
      <c r="C123" t="s">
        <v>29</v>
      </c>
      <c r="D123">
        <v>6377.4</v>
      </c>
      <c r="E123">
        <v>-0.42499999999999999</v>
      </c>
      <c r="F123">
        <v>0</v>
      </c>
      <c r="G123" t="s">
        <v>38</v>
      </c>
      <c r="H123">
        <v>2025</v>
      </c>
      <c r="I123" s="9">
        <f>'inflation &amp; currencies'!$B$58/INDEX('inflation &amp; currencies'!$B:$B,MATCH(Tabelle3[[#This Row],[year]],'inflation &amp; currencies'!$A:$A,0))/INDEX('inflation &amp; currencies'!$C$3:$AV$58,MATCH(Tabelle3[[#This Row],[year]],'inflation &amp; currencies'!$A$3:$A$58,0),MATCH(Tabelle3[[#This Row],[currency]],'inflation &amp; currencies'!$C$2:$AV$2,0))</f>
        <v>1</v>
      </c>
      <c r="J123" s="2"/>
    </row>
    <row r="124" spans="2:27" x14ac:dyDescent="0.3">
      <c r="B124" t="s">
        <v>181</v>
      </c>
      <c r="C124" t="s">
        <v>30</v>
      </c>
      <c r="D124">
        <v>3071.9</v>
      </c>
      <c r="E124">
        <v>-0.29599999999999999</v>
      </c>
      <c r="F124">
        <v>0</v>
      </c>
      <c r="G124" t="s">
        <v>38</v>
      </c>
      <c r="H124">
        <v>2025</v>
      </c>
      <c r="I124" s="9">
        <f>'inflation &amp; currencies'!$B$58/INDEX('inflation &amp; currencies'!$B:$B,MATCH(Tabelle3[[#This Row],[year]],'inflation &amp; currencies'!$A:$A,0))/INDEX('inflation &amp; currencies'!$C$3:$AV$58,MATCH(Tabelle3[[#This Row],[year]],'inflation &amp; currencies'!$A$3:$A$58,0),MATCH(Tabelle3[[#This Row],[currency]],'inflation &amp; currencies'!$C$2:$AV$2,0))</f>
        <v>1</v>
      </c>
      <c r="J124" s="2"/>
    </row>
    <row r="125" spans="2:27" x14ac:dyDescent="0.3">
      <c r="B125" t="s">
        <v>181</v>
      </c>
      <c r="C125" t="s">
        <v>28</v>
      </c>
      <c r="D125">
        <v>304454</v>
      </c>
      <c r="E125">
        <v>-0.92400000000000004</v>
      </c>
      <c r="F125">
        <v>0</v>
      </c>
      <c r="G125" t="s">
        <v>38</v>
      </c>
      <c r="H125">
        <v>2025</v>
      </c>
      <c r="I125" s="9">
        <f>'inflation &amp; currencies'!$B$58/INDEX('inflation &amp; currencies'!$B:$B,MATCH(Tabelle3[[#This Row],[year]],'inflation &amp; currencies'!$A:$A,0))/INDEX('inflation &amp; currencies'!$C$3:$AV$58,MATCH(Tabelle3[[#This Row],[year]],'inflation &amp; currencies'!$A$3:$A$58,0),MATCH(Tabelle3[[#This Row],[currency]],'inflation &amp; currencies'!$C$2:$AV$2,0))</f>
        <v>1</v>
      </c>
      <c r="J125" s="2"/>
    </row>
    <row r="126" spans="2:27" x14ac:dyDescent="0.3">
      <c r="B126" t="s">
        <v>181</v>
      </c>
      <c r="C126" t="s">
        <v>27</v>
      </c>
      <c r="D126">
        <v>38344</v>
      </c>
      <c r="E126">
        <v>-0.67500000000000004</v>
      </c>
      <c r="F126">
        <v>0</v>
      </c>
      <c r="G126" t="s">
        <v>38</v>
      </c>
      <c r="H126">
        <v>2025</v>
      </c>
      <c r="I126" s="9">
        <f>'inflation &amp; currencies'!$B$58/INDEX('inflation &amp; currencies'!$B:$B,MATCH(Tabelle3[[#This Row],[year]],'inflation &amp; currencies'!$A:$A,0))/INDEX('inflation &amp; currencies'!$C$3:$AV$58,MATCH(Tabelle3[[#This Row],[year]],'inflation &amp; currencies'!$A$3:$A$58,0),MATCH(Tabelle3[[#This Row],[currency]],'inflation &amp; currencies'!$C$2:$AV$2,0))</f>
        <v>1</v>
      </c>
      <c r="J126" s="2"/>
    </row>
    <row r="127" spans="2:27" x14ac:dyDescent="0.3">
      <c r="I127" s="9"/>
      <c r="J127" s="2"/>
    </row>
    <row r="128" spans="2:27" ht="16.2" x14ac:dyDescent="0.3">
      <c r="B128" s="102" t="s">
        <v>232</v>
      </c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X128" s="101" t="s">
        <v>232</v>
      </c>
      <c r="Y128" s="101"/>
      <c r="Z128" s="101"/>
      <c r="AA128" s="101"/>
    </row>
    <row r="129" spans="2:30" ht="16.2" x14ac:dyDescent="0.3">
      <c r="B129" s="63" t="s">
        <v>243</v>
      </c>
      <c r="C129" s="64" t="s">
        <v>45</v>
      </c>
      <c r="D129" s="64" t="s">
        <v>54</v>
      </c>
      <c r="E129" s="64" t="s">
        <v>50</v>
      </c>
      <c r="F129" s="64" t="s">
        <v>271</v>
      </c>
      <c r="G129" s="64" t="s">
        <v>182</v>
      </c>
      <c r="H129" s="65" t="s">
        <v>51</v>
      </c>
      <c r="I129" s="65" t="s">
        <v>46</v>
      </c>
      <c r="J129" s="65" t="s">
        <v>183</v>
      </c>
      <c r="K129" s="65" t="s">
        <v>184</v>
      </c>
      <c r="L129" s="66" t="s">
        <v>185</v>
      </c>
      <c r="M129" s="66" t="s">
        <v>186</v>
      </c>
      <c r="N129" s="66" t="s">
        <v>187</v>
      </c>
      <c r="O129" s="67" t="s">
        <v>188</v>
      </c>
      <c r="P129" s="67" t="s">
        <v>220</v>
      </c>
      <c r="X129" s="42" t="s">
        <v>200</v>
      </c>
      <c r="Y129" s="43" t="s">
        <v>201</v>
      </c>
      <c r="Z129" s="44" t="s">
        <v>202</v>
      </c>
      <c r="AA129" s="45" t="s">
        <v>203</v>
      </c>
      <c r="AB129" s="42" t="s">
        <v>275</v>
      </c>
      <c r="AC129" s="43" t="s">
        <v>276</v>
      </c>
      <c r="AD129" s="44" t="s">
        <v>277</v>
      </c>
    </row>
    <row r="130" spans="2:30" x14ac:dyDescent="0.3">
      <c r="B130" s="71">
        <v>200</v>
      </c>
      <c r="C130" s="72">
        <f t="shared" ref="C130:C136" si="15">($D$113*B130^$E$113+$F$113)*$I$113</f>
        <v>10598.048774269053</v>
      </c>
      <c r="D130" s="72">
        <f t="shared" ref="D130:D136" si="16">($D$119*B130^$E$119+$F$119)*$I$119</f>
        <v>735.57104815198784</v>
      </c>
      <c r="E130" s="72">
        <f t="shared" ref="E130:E136" si="17">($D$114*B130^$E$114)*$I$114</f>
        <v>373.77738891715063</v>
      </c>
      <c r="F130" s="72">
        <f>($D$122*B130^$E$122)*$I$122</f>
        <v>737.4634654985033</v>
      </c>
      <c r="G130" s="72">
        <f t="shared" ref="G130:G131" si="18">($D$123*B130^$E$123+$F$123)*$I$123</f>
        <v>670.97433609151835</v>
      </c>
      <c r="H130" s="72">
        <f t="shared" ref="H130:H131" si="19">(5295*B130^(-0.435))*$I$115</f>
        <v>631.92369529950645</v>
      </c>
      <c r="I130" s="72">
        <f t="shared" ref="I130:I131" si="20">(7450*B130^(-0.47))*$I$118</f>
        <v>708.1611940010639</v>
      </c>
      <c r="J130" s="72">
        <f t="shared" ref="J130:J131" si="21">($D$120*B130^$E$120+$F$120)*$I$120</f>
        <v>882.6019393334152</v>
      </c>
      <c r="K130" s="72">
        <f t="shared" ref="K130:K131" si="22">($D$124*B130^$E$124+$F$124)*$I$124</f>
        <v>640.18013721992804</v>
      </c>
      <c r="L130" s="72">
        <f t="shared" ref="L130:L131" si="23">($D$117*B130^$E$117+$F$117)*$I$117</f>
        <v>642.34796025886692</v>
      </c>
      <c r="M130" s="72">
        <f t="shared" ref="M130:M131" si="24">($D$121*B130^$E$121+$F$121)*$I$121</f>
        <v>827.59445865773091</v>
      </c>
      <c r="N130" s="72">
        <f t="shared" ref="N130:N131" si="25">($D$125*B130^$E$125+$F$125)*$I$125</f>
        <v>2277.036374551883</v>
      </c>
      <c r="O130" s="73">
        <f t="shared" ref="O130:O131" si="26">($D$116*B130^$E$116+$F$116)*$I$116</f>
        <v>104.39408650922007</v>
      </c>
      <c r="P130" s="73">
        <f t="shared" ref="P130:P131" si="27">($D$126*B130^$E$126+$F$126)*$I$126</f>
        <v>1072.7590052890664</v>
      </c>
      <c r="X130" s="76">
        <f>AVERAGE(CAPEX!$C130:$G130)</f>
        <v>2623.1670025856429</v>
      </c>
      <c r="Y130" s="77">
        <f>AVERAGE(CAPEX!$H130:$K130)</f>
        <v>715.71674146347846</v>
      </c>
      <c r="Z130" s="77">
        <f>AVERAGE(CAPEX!$L130:$N130)</f>
        <v>1248.9929311561602</v>
      </c>
      <c r="AA130" s="77">
        <f>AVERAGE(CAPEX!$P130)</f>
        <v>1072.7590052890664</v>
      </c>
      <c r="AB130" s="98"/>
      <c r="AC130" s="98">
        <f>ABS(K130-Y130)/Y130</f>
        <v>0.10553980348300249</v>
      </c>
      <c r="AD130" s="98"/>
    </row>
    <row r="131" spans="2:30" x14ac:dyDescent="0.3">
      <c r="B131" s="68">
        <v>500</v>
      </c>
      <c r="C131" s="69">
        <f t="shared" si="15"/>
        <v>4268.11702421872</v>
      </c>
      <c r="D131" s="69">
        <f t="shared" si="16"/>
        <v>431.16315824893604</v>
      </c>
      <c r="E131" s="69">
        <f t="shared" si="17"/>
        <v>265.32823168741618</v>
      </c>
      <c r="F131" s="69">
        <f t="shared" ref="F131" si="28">($D$122*B131^$E$122)*$I$122</f>
        <v>500.05059253091383</v>
      </c>
      <c r="G131" s="69">
        <f t="shared" si="18"/>
        <v>454.54973152934565</v>
      </c>
      <c r="H131" s="69">
        <f t="shared" si="19"/>
        <v>424.19030335540936</v>
      </c>
      <c r="I131" s="69">
        <f t="shared" si="20"/>
        <v>460.36290342660271</v>
      </c>
      <c r="J131" s="69">
        <f t="shared" si="21"/>
        <v>592.05807762964071</v>
      </c>
      <c r="K131" s="69">
        <f t="shared" si="22"/>
        <v>488.10353465158545</v>
      </c>
      <c r="L131" s="69">
        <f t="shared" si="23"/>
        <v>354.41107422308778</v>
      </c>
      <c r="M131" s="69">
        <f t="shared" si="24"/>
        <v>458.28762816796251</v>
      </c>
      <c r="N131" s="69">
        <f t="shared" si="25"/>
        <v>976.50259176914915</v>
      </c>
      <c r="O131" s="70">
        <f t="shared" si="26"/>
        <v>95.428429717944013</v>
      </c>
      <c r="P131" s="70">
        <f t="shared" si="27"/>
        <v>577.95318720896898</v>
      </c>
      <c r="X131" s="78">
        <f>AVERAGE(CAPEX!$C131:$G131)</f>
        <v>1183.8417476430664</v>
      </c>
      <c r="Y131" s="79">
        <f>AVERAGE(CAPEX!$H131:$K131)</f>
        <v>491.17870476580958</v>
      </c>
      <c r="Z131" s="79">
        <f>AVERAGE(CAPEX!$L131:$N131)</f>
        <v>596.4004313867332</v>
      </c>
      <c r="AA131" s="79">
        <f>AVERAGE(CAPEX!$P131)</f>
        <v>577.95318720896898</v>
      </c>
      <c r="AB131" s="99">
        <f t="shared" ref="AB131:AB160" si="29">ABS(G131-X131)/X131</f>
        <v>0.61603843382418499</v>
      </c>
      <c r="AC131" s="99">
        <f t="shared" ref="AC131" si="30">ABS(K131-Y131)/Y131</f>
        <v>6.2607969042354035E-3</v>
      </c>
      <c r="AD131" s="99"/>
    </row>
    <row r="132" spans="2:30" x14ac:dyDescent="0.3">
      <c r="B132" s="71">
        <v>1000</v>
      </c>
      <c r="C132" s="72">
        <f t="shared" si="15"/>
        <v>2158.1397742019431</v>
      </c>
      <c r="D132" s="72">
        <f t="shared" si="16"/>
        <v>291.63800419417817</v>
      </c>
      <c r="E132" s="72">
        <f t="shared" si="17"/>
        <v>204.7378999233166</v>
      </c>
      <c r="F132" s="72">
        <f>($D$122*B132^$E$122)*$I$122</f>
        <v>372.71530610539401</v>
      </c>
      <c r="G132" s="72">
        <f t="shared" ref="G132:G160" si="31">($D$123*B132^$E$123+$F$123)*$I$123</f>
        <v>338.56624546387059</v>
      </c>
      <c r="H132" s="72">
        <f t="shared" ref="H132:H160" si="32">(5295*B132^(-0.435))*$I$115</f>
        <v>313.77091816423388</v>
      </c>
      <c r="I132" s="72">
        <f t="shared" ref="I132:I160" si="33">(7450*B132^(-0.47))*$I$118</f>
        <v>332.36571839658751</v>
      </c>
      <c r="J132" s="72">
        <f t="shared" ref="J132:J160" si="34">($D$120*B132^$E$120+$F$120)*$I$120</f>
        <v>452.02746699353156</v>
      </c>
      <c r="K132" s="72">
        <f t="shared" ref="K132:K160" si="35">($D$124*B132^$E$124+$F$124)*$I$124</f>
        <v>397.56402053502131</v>
      </c>
      <c r="L132" s="72">
        <f t="shared" ref="L132:L160" si="36">($D$117*B132^$E$117+$F$117)*$I$117</f>
        <v>226.01580848330272</v>
      </c>
      <c r="M132" s="72">
        <f t="shared" ref="M132:M160" si="37">($D$121*B132^$E$121+$F$121)*$I$121</f>
        <v>298.42442369594232</v>
      </c>
      <c r="N132" s="72">
        <f t="shared" ref="N132:N160" si="38">($D$125*B132^$E$125+$F$125)*$I$125</f>
        <v>514.66150340251852</v>
      </c>
      <c r="O132" s="73">
        <f t="shared" ref="O132:O160" si="39">($D$116*B132^$E$116+$F$116)*$I$116</f>
        <v>89.161391555594662</v>
      </c>
      <c r="P132" s="73">
        <f t="shared" ref="P132:P160" si="40">($D$126*B132^$E$126+$F$126)*$I$126</f>
        <v>361.99070240307441</v>
      </c>
      <c r="X132" s="76">
        <f>AVERAGE(CAPEX!$C132:$G132)</f>
        <v>673.15944597774046</v>
      </c>
      <c r="Y132" s="77">
        <f>AVERAGE(CAPEX!$H132:$K132)</f>
        <v>373.93203102234361</v>
      </c>
      <c r="Z132" s="77">
        <f>AVERAGE(CAPEX!$L132:$N132)</f>
        <v>346.36724519392118</v>
      </c>
      <c r="AA132" s="77">
        <f>AVERAGE(CAPEX!$P132)</f>
        <v>361.99070240307441</v>
      </c>
      <c r="AB132" s="98">
        <f t="shared" si="29"/>
        <v>0.49704895699396301</v>
      </c>
      <c r="AC132" s="98">
        <f>ABS(K132-Y132)/Y132</f>
        <v>6.3198623151022926E-2</v>
      </c>
      <c r="AD132" s="98"/>
    </row>
    <row r="133" spans="2:30" x14ac:dyDescent="0.3">
      <c r="B133" s="68">
        <f t="shared" ref="B133:B141" si="41">B132+$B$132</f>
        <v>2000</v>
      </c>
      <c r="C133" s="69">
        <f t="shared" si="15"/>
        <v>1103.1511491935541</v>
      </c>
      <c r="D133" s="69">
        <f t="shared" si="16"/>
        <v>200.57573981781277</v>
      </c>
      <c r="E133" s="69">
        <f t="shared" si="17"/>
        <v>157.98397101742739</v>
      </c>
      <c r="F133" s="69">
        <f t="shared" ref="F133:F160" si="42">($D$122*B133^$E$122)*$I$122</f>
        <v>277.80528906512495</v>
      </c>
      <c r="G133" s="69">
        <f t="shared" si="31"/>
        <v>252.17725282079834</v>
      </c>
      <c r="H133" s="69">
        <f t="shared" si="32"/>
        <v>232.09438854885335</v>
      </c>
      <c r="I133" s="69">
        <f t="shared" si="33"/>
        <v>239.95628219182061</v>
      </c>
      <c r="J133" s="69">
        <f t="shared" si="34"/>
        <v>356.681604860775</v>
      </c>
      <c r="K133" s="69">
        <f t="shared" si="35"/>
        <v>323.81890153037716</v>
      </c>
      <c r="L133" s="69">
        <f t="shared" si="36"/>
        <v>144.1352976803602</v>
      </c>
      <c r="M133" s="69">
        <f t="shared" si="37"/>
        <v>198.98857904752791</v>
      </c>
      <c r="N133" s="69">
        <f t="shared" si="38"/>
        <v>271.25013831725579</v>
      </c>
      <c r="O133" s="70">
        <f t="shared" si="39"/>
        <v>83.305926416551173</v>
      </c>
      <c r="P133" s="70">
        <f t="shared" si="40"/>
        <v>226.72644000645053</v>
      </c>
      <c r="X133" s="78">
        <f>AVERAGE(CAPEX!$C133:$G133)</f>
        <v>398.33868038294349</v>
      </c>
      <c r="Y133" s="79">
        <f>AVERAGE(CAPEX!$H133:$K133)</f>
        <v>288.13779428295652</v>
      </c>
      <c r="Z133" s="79">
        <f>AVERAGE(CAPEX!$L133:$N133)</f>
        <v>204.79133834838129</v>
      </c>
      <c r="AA133" s="79">
        <f>AVERAGE(CAPEX!$P133)</f>
        <v>226.72644000645053</v>
      </c>
      <c r="AB133" s="99">
        <f t="shared" si="29"/>
        <v>0.36692752865886047</v>
      </c>
      <c r="AC133" s="99">
        <f t="shared" ref="AC133:AC152" si="43">ABS(K133-Y133)/Y133</f>
        <v>0.12383348507339911</v>
      </c>
      <c r="AD133" s="99"/>
    </row>
    <row r="134" spans="2:30" x14ac:dyDescent="0.3">
      <c r="B134" s="71">
        <f t="shared" si="41"/>
        <v>3000</v>
      </c>
      <c r="C134" s="72">
        <f t="shared" si="15"/>
        <v>751.48827419075792</v>
      </c>
      <c r="D134" s="72">
        <f t="shared" si="16"/>
        <v>162.77976012836092</v>
      </c>
      <c r="E134" s="72">
        <f t="shared" si="17"/>
        <v>135.75470644956047</v>
      </c>
      <c r="F134" s="72">
        <f t="shared" si="42"/>
        <v>233.92563446405507</v>
      </c>
      <c r="G134" s="72">
        <f t="shared" si="31"/>
        <v>212.25949379925379</v>
      </c>
      <c r="H134" s="72">
        <f t="shared" si="32"/>
        <v>194.56510051852476</v>
      </c>
      <c r="I134" s="72">
        <f t="shared" si="33"/>
        <v>198.32124162143657</v>
      </c>
      <c r="J134" s="72">
        <f t="shared" si="34"/>
        <v>315.71854002663508</v>
      </c>
      <c r="K134" s="72">
        <f t="shared" si="35"/>
        <v>287.1965261807311</v>
      </c>
      <c r="L134" s="72">
        <f t="shared" si="36"/>
        <v>110.78657143369725</v>
      </c>
      <c r="M134" s="72">
        <f t="shared" si="37"/>
        <v>159.3078042737412</v>
      </c>
      <c r="N134" s="72">
        <f t="shared" si="38"/>
        <v>186.49261769357551</v>
      </c>
      <c r="O134" s="73">
        <f t="shared" si="39"/>
        <v>80.060621103073501</v>
      </c>
      <c r="P134" s="73">
        <f t="shared" si="40"/>
        <v>172.44101443243241</v>
      </c>
      <c r="X134" s="76">
        <f>AVERAGE(CAPEX!$C134:$G134)</f>
        <v>299.24157380639764</v>
      </c>
      <c r="Y134" s="77">
        <f>AVERAGE(CAPEX!$H134:$K134)</f>
        <v>248.95035208683188</v>
      </c>
      <c r="Z134" s="77">
        <f>AVERAGE(CAPEX!$L134:$N134)</f>
        <v>152.19566446700466</v>
      </c>
      <c r="AA134" s="77">
        <f>AVERAGE(CAPEX!$P134)</f>
        <v>172.44101443243241</v>
      </c>
      <c r="AB134" s="98">
        <f t="shared" si="29"/>
        <v>0.29067511877015872</v>
      </c>
      <c r="AC134" s="98">
        <f t="shared" si="43"/>
        <v>0.15362972485597953</v>
      </c>
      <c r="AD134" s="98"/>
    </row>
    <row r="135" spans="2:30" x14ac:dyDescent="0.3">
      <c r="B135" s="68">
        <f t="shared" si="41"/>
        <v>4000</v>
      </c>
      <c r="C135" s="69">
        <f t="shared" si="15"/>
        <v>575.65683668935992</v>
      </c>
      <c r="D135" s="69">
        <f t="shared" si="16"/>
        <v>141.14318767673646</v>
      </c>
      <c r="E135" s="69">
        <f t="shared" si="17"/>
        <v>121.9067652241405</v>
      </c>
      <c r="F135" s="69">
        <f t="shared" si="42"/>
        <v>207.0636149585292</v>
      </c>
      <c r="G135" s="69">
        <f t="shared" si="31"/>
        <v>187.83138511966962</v>
      </c>
      <c r="H135" s="69">
        <f t="shared" si="32"/>
        <v>171.67876969296003</v>
      </c>
      <c r="I135" s="69">
        <f t="shared" si="33"/>
        <v>173.23994075290227</v>
      </c>
      <c r="J135" s="69">
        <f t="shared" si="34"/>
        <v>291.7612750518694</v>
      </c>
      <c r="K135" s="69">
        <f t="shared" si="35"/>
        <v>263.75294436158163</v>
      </c>
      <c r="L135" s="69">
        <f t="shared" si="36"/>
        <v>91.918278534666428</v>
      </c>
      <c r="M135" s="69">
        <f t="shared" si="37"/>
        <v>137.13890429842601</v>
      </c>
      <c r="N135" s="69">
        <f t="shared" si="38"/>
        <v>142.96122218332272</v>
      </c>
      <c r="O135" s="70">
        <f t="shared" si="39"/>
        <v>77.83500520842172</v>
      </c>
      <c r="P135" s="70">
        <f t="shared" si="40"/>
        <v>142.00607434596355</v>
      </c>
      <c r="X135" s="78">
        <f>AVERAGE(CAPEX!$C135:$G135)</f>
        <v>246.72035793368713</v>
      </c>
      <c r="Y135" s="79">
        <f>AVERAGE(CAPEX!$H135:$K135)</f>
        <v>225.10823246482832</v>
      </c>
      <c r="Z135" s="79">
        <f>AVERAGE(CAPEX!$L135:$N135)</f>
        <v>124.00613500547172</v>
      </c>
      <c r="AA135" s="79">
        <f>AVERAGE(CAPEX!$P135)</f>
        <v>142.00607434596355</v>
      </c>
      <c r="AB135" s="99">
        <f t="shared" si="29"/>
        <v>0.23868712459409425</v>
      </c>
      <c r="AC135" s="99">
        <f t="shared" si="43"/>
        <v>0.17167169531568016</v>
      </c>
      <c r="AD135" s="99"/>
    </row>
    <row r="136" spans="2:30" x14ac:dyDescent="0.3">
      <c r="B136" s="71">
        <f t="shared" si="41"/>
        <v>5000</v>
      </c>
      <c r="C136" s="72">
        <f t="shared" si="15"/>
        <v>470.15797418852105</v>
      </c>
      <c r="D136" s="72">
        <f t="shared" si="16"/>
        <v>126.8097957998485</v>
      </c>
      <c r="E136" s="72">
        <f t="shared" si="17"/>
        <v>112.14591601286301</v>
      </c>
      <c r="F136" s="72">
        <f t="shared" si="42"/>
        <v>188.3709578905499</v>
      </c>
      <c r="G136" s="72">
        <f t="shared" si="31"/>
        <v>170.83679121799835</v>
      </c>
      <c r="H136" s="72">
        <f t="shared" si="32"/>
        <v>155.79759046535511</v>
      </c>
      <c r="I136" s="72">
        <f t="shared" si="33"/>
        <v>155.99127952938025</v>
      </c>
      <c r="J136" s="72">
        <f t="shared" si="34"/>
        <v>275.63931481460065</v>
      </c>
      <c r="K136" s="72">
        <f t="shared" si="35"/>
        <v>246.89480543766339</v>
      </c>
      <c r="L136" s="72">
        <f t="shared" si="36"/>
        <v>79.525660303761825</v>
      </c>
      <c r="M136" s="72">
        <f t="shared" si="37"/>
        <v>122.71267913764271</v>
      </c>
      <c r="N136" s="72">
        <f t="shared" si="38"/>
        <v>116.32509082630158</v>
      </c>
      <c r="O136" s="73">
        <f t="shared" si="39"/>
        <v>76.151379929244811</v>
      </c>
      <c r="P136" s="73">
        <f t="shared" si="40"/>
        <v>122.1497726704813</v>
      </c>
      <c r="X136" s="76">
        <f>AVERAGE(CAPEX!$C136:$G136)</f>
        <v>213.66428702195617</v>
      </c>
      <c r="Y136" s="77">
        <f>AVERAGE(CAPEX!$H136:$K136)</f>
        <v>208.58074756174986</v>
      </c>
      <c r="Z136" s="77">
        <f>AVERAGE(CAPEX!$L136:$N136)</f>
        <v>106.18781008923537</v>
      </c>
      <c r="AA136" s="77">
        <f>AVERAGE(CAPEX!$P136)</f>
        <v>122.1497726704813</v>
      </c>
      <c r="AB136" s="98">
        <f t="shared" si="29"/>
        <v>0.20044293035998503</v>
      </c>
      <c r="AC136" s="98">
        <f t="shared" si="43"/>
        <v>0.18368933050530342</v>
      </c>
      <c r="AD136" s="98">
        <f t="shared" ref="AD136:AD160" si="44">ABS(N136-Z136)/Z136</f>
        <v>9.5465578662440626E-2</v>
      </c>
    </row>
    <row r="137" spans="2:30" x14ac:dyDescent="0.3">
      <c r="B137" s="68">
        <f t="shared" si="41"/>
        <v>6000</v>
      </c>
      <c r="C137" s="69">
        <f t="shared" ref="C137:C160" si="45">($D$113*B137^$E$113+$F$113)*$I$113</f>
        <v>399.82539918796175</v>
      </c>
      <c r="D137" s="69">
        <f t="shared" ref="D137:D160" si="46">($D$119*B137^$E$119+$F$119)*$I$119</f>
        <v>116.47532389144483</v>
      </c>
      <c r="E137" s="69">
        <f t="shared" ref="E137:E160" si="47">($D$114*B137^$E$114)*$I$114</f>
        <v>104.75377356727599</v>
      </c>
      <c r="F137" s="69">
        <f t="shared" si="42"/>
        <v>174.3576865170472</v>
      </c>
      <c r="G137" s="69">
        <f t="shared" si="31"/>
        <v>158.09909212329063</v>
      </c>
      <c r="H137" s="69">
        <f t="shared" si="32"/>
        <v>143.91858972142498</v>
      </c>
      <c r="I137" s="69">
        <f t="shared" si="33"/>
        <v>143.1809154347317</v>
      </c>
      <c r="J137" s="69">
        <f t="shared" si="34"/>
        <v>263.86981107503567</v>
      </c>
      <c r="K137" s="69">
        <f t="shared" si="35"/>
        <v>233.92374266169864</v>
      </c>
      <c r="L137" s="69">
        <f t="shared" si="36"/>
        <v>70.651055604201773</v>
      </c>
      <c r="M137" s="69">
        <f t="shared" si="37"/>
        <v>112.45723118317473</v>
      </c>
      <c r="N137" s="69">
        <f t="shared" si="38"/>
        <v>98.290134408918306</v>
      </c>
      <c r="O137" s="70">
        <f t="shared" si="39"/>
        <v>74.802827705054213</v>
      </c>
      <c r="P137" s="70">
        <f t="shared" si="40"/>
        <v>108.00536326988906</v>
      </c>
      <c r="X137" s="78">
        <f>AVERAGE(CAPEX!$C137:$G137)</f>
        <v>190.7022550574041</v>
      </c>
      <c r="Y137" s="79">
        <f>AVERAGE(CAPEX!$H137:$K137)</f>
        <v>196.22326472322274</v>
      </c>
      <c r="Z137" s="79">
        <f>AVERAGE(CAPEX!$L137:$N137)</f>
        <v>93.799473732098264</v>
      </c>
      <c r="AA137" s="79">
        <f>AVERAGE(CAPEX!$P137)</f>
        <v>108.00536326988906</v>
      </c>
      <c r="AB137" s="99">
        <f t="shared" si="29"/>
        <v>0.17096369900974404</v>
      </c>
      <c r="AC137" s="99">
        <f t="shared" si="43"/>
        <v>0.19213052026044547</v>
      </c>
      <c r="AD137" s="99">
        <f t="shared" si="44"/>
        <v>4.7875115905723187E-2</v>
      </c>
    </row>
    <row r="138" spans="2:30" x14ac:dyDescent="0.3">
      <c r="B138" s="71">
        <f t="shared" si="41"/>
        <v>7000</v>
      </c>
      <c r="C138" s="72">
        <f t="shared" si="45"/>
        <v>349.58784561613379</v>
      </c>
      <c r="D138" s="72">
        <f t="shared" si="46"/>
        <v>108.5984749966948</v>
      </c>
      <c r="E138" s="72">
        <f t="shared" si="47"/>
        <v>98.885263986971879</v>
      </c>
      <c r="F138" s="72">
        <f t="shared" si="42"/>
        <v>163.32612529376811</v>
      </c>
      <c r="G138" s="72">
        <f t="shared" si="31"/>
        <v>148.07338017033115</v>
      </c>
      <c r="H138" s="72">
        <f t="shared" si="32"/>
        <v>134.58449868947622</v>
      </c>
      <c r="I138" s="72">
        <f t="shared" si="33"/>
        <v>133.17421443220064</v>
      </c>
      <c r="J138" s="72">
        <f t="shared" si="34"/>
        <v>254.8062503956719</v>
      </c>
      <c r="K138" s="72">
        <f t="shared" si="35"/>
        <v>223.48997868620279</v>
      </c>
      <c r="L138" s="72">
        <f t="shared" si="36"/>
        <v>63.924919323695114</v>
      </c>
      <c r="M138" s="72">
        <f t="shared" si="37"/>
        <v>104.73162187616896</v>
      </c>
      <c r="N138" s="72">
        <f t="shared" si="38"/>
        <v>85.241502339237883</v>
      </c>
      <c r="O138" s="73">
        <f t="shared" si="39"/>
        <v>73.68129156567008</v>
      </c>
      <c r="P138" s="73">
        <f t="shared" si="40"/>
        <v>97.33213256997098</v>
      </c>
      <c r="X138" s="76">
        <f>AVERAGE(CAPEX!$C138:$G138)</f>
        <v>173.69421801277991</v>
      </c>
      <c r="Y138" s="77">
        <f>AVERAGE(CAPEX!$H138:$K138)</f>
        <v>186.5137355508879</v>
      </c>
      <c r="Z138" s="77">
        <f>AVERAGE(CAPEX!$L138:$N138)</f>
        <v>84.632681179700654</v>
      </c>
      <c r="AA138" s="77">
        <f>AVERAGE(CAPEX!$P138)</f>
        <v>97.33213256997098</v>
      </c>
      <c r="AB138" s="98">
        <f t="shared" si="29"/>
        <v>0.14750541575634751</v>
      </c>
      <c r="AC138" s="98">
        <f t="shared" si="43"/>
        <v>0.19824943737307965</v>
      </c>
      <c r="AD138" s="98">
        <f t="shared" si="44"/>
        <v>7.1936886679097173E-3</v>
      </c>
    </row>
    <row r="139" spans="2:30" x14ac:dyDescent="0.3">
      <c r="B139" s="68">
        <f t="shared" si="41"/>
        <v>8000</v>
      </c>
      <c r="C139" s="69">
        <f t="shared" si="45"/>
        <v>311.90968043726275</v>
      </c>
      <c r="D139" s="69">
        <f t="shared" si="46"/>
        <v>102.35403304510064</v>
      </c>
      <c r="E139" s="69">
        <f t="shared" si="47"/>
        <v>94.068146987990033</v>
      </c>
      <c r="F139" s="69">
        <f t="shared" si="42"/>
        <v>154.33594077340589</v>
      </c>
      <c r="G139" s="69">
        <f t="shared" si="31"/>
        <v>139.90409063994639</v>
      </c>
      <c r="H139" s="69">
        <f t="shared" si="32"/>
        <v>126.98971374348652</v>
      </c>
      <c r="I139" s="69">
        <f t="shared" si="33"/>
        <v>125.07310414185156</v>
      </c>
      <c r="J139" s="69">
        <f t="shared" si="34"/>
        <v>247.55747712901137</v>
      </c>
      <c r="K139" s="69">
        <f t="shared" si="35"/>
        <v>214.8287679645459</v>
      </c>
      <c r="L139" s="69">
        <f t="shared" si="36"/>
        <v>58.61832642489329</v>
      </c>
      <c r="M139" s="69">
        <f t="shared" si="37"/>
        <v>98.668046228124595</v>
      </c>
      <c r="N139" s="69">
        <f t="shared" si="38"/>
        <v>75.347099083301018</v>
      </c>
      <c r="O139" s="70">
        <f t="shared" si="39"/>
        <v>72.723373911023174</v>
      </c>
      <c r="P139" s="70">
        <f t="shared" si="40"/>
        <v>88.942979700901319</v>
      </c>
      <c r="X139" s="78">
        <f>AVERAGE(CAPEX!$C139:$G139)</f>
        <v>160.51437837674115</v>
      </c>
      <c r="Y139" s="79">
        <f>AVERAGE(CAPEX!$H139:$K139)</f>
        <v>178.61226574472383</v>
      </c>
      <c r="Z139" s="79">
        <f>AVERAGE(CAPEX!$L139:$N139)</f>
        <v>77.544490578772965</v>
      </c>
      <c r="AA139" s="79">
        <f>AVERAGE(CAPEX!$P139)</f>
        <v>88.942979700901319</v>
      </c>
      <c r="AB139" s="99">
        <f t="shared" si="29"/>
        <v>0.12840150486967983</v>
      </c>
      <c r="AC139" s="99">
        <f t="shared" si="43"/>
        <v>0.20276604223577463</v>
      </c>
      <c r="AD139" s="99">
        <f t="shared" si="44"/>
        <v>2.8337171075226094E-2</v>
      </c>
    </row>
    <row r="140" spans="2:30" x14ac:dyDescent="0.3">
      <c r="B140" s="71">
        <f t="shared" si="41"/>
        <v>9000</v>
      </c>
      <c r="C140" s="72">
        <f t="shared" si="45"/>
        <v>282.60444085369642</v>
      </c>
      <c r="D140" s="72">
        <f t="shared" si="46"/>
        <v>97.256369217655305</v>
      </c>
      <c r="E140" s="72">
        <f t="shared" si="47"/>
        <v>90.01430770809371</v>
      </c>
      <c r="F140" s="72">
        <f t="shared" si="42"/>
        <v>146.81769587411839</v>
      </c>
      <c r="G140" s="72">
        <f t="shared" si="31"/>
        <v>133.07319708196749</v>
      </c>
      <c r="H140" s="72">
        <f t="shared" si="32"/>
        <v>120.6471860466344</v>
      </c>
      <c r="I140" s="72">
        <f t="shared" si="33"/>
        <v>118.33745991617882</v>
      </c>
      <c r="J140" s="72">
        <f t="shared" si="34"/>
        <v>241.59424716377868</v>
      </c>
      <c r="K140" s="72">
        <f t="shared" si="35"/>
        <v>207.46808159168793</v>
      </c>
      <c r="L140" s="72">
        <f t="shared" si="36"/>
        <v>54.304451057636705</v>
      </c>
      <c r="M140" s="72">
        <f t="shared" si="37"/>
        <v>93.761085488401363</v>
      </c>
      <c r="N140" s="72">
        <f t="shared" si="38"/>
        <v>67.577419768660832</v>
      </c>
      <c r="O140" s="73">
        <f t="shared" si="39"/>
        <v>71.888773151473998</v>
      </c>
      <c r="P140" s="73">
        <f t="shared" si="40"/>
        <v>82.145489541815891</v>
      </c>
      <c r="X140" s="76">
        <f>AVERAGE(CAPEX!$C140:$G140)</f>
        <v>149.95320214710625</v>
      </c>
      <c r="Y140" s="77">
        <f>AVERAGE(CAPEX!$H140:$K140)</f>
        <v>172.01174367956995</v>
      </c>
      <c r="Z140" s="77">
        <f>AVERAGE(CAPEX!$L140:$N140)</f>
        <v>71.880985438232969</v>
      </c>
      <c r="AA140" s="77">
        <f>AVERAGE(CAPEX!$P140)</f>
        <v>82.145489541815891</v>
      </c>
      <c r="AB140" s="98">
        <f t="shared" si="29"/>
        <v>0.1125684868575146</v>
      </c>
      <c r="AC140" s="98">
        <f t="shared" si="43"/>
        <v>0.20612742568418707</v>
      </c>
      <c r="AD140" s="98">
        <f t="shared" si="44"/>
        <v>5.9870710499234502E-2</v>
      </c>
    </row>
    <row r="141" spans="2:30" x14ac:dyDescent="0.3">
      <c r="B141" s="68">
        <f t="shared" si="41"/>
        <v>10000</v>
      </c>
      <c r="C141" s="69">
        <f t="shared" si="45"/>
        <v>259.16024918684332</v>
      </c>
      <c r="D141" s="69">
        <f t="shared" si="46"/>
        <v>92.999224377475159</v>
      </c>
      <c r="E141" s="69">
        <f t="shared" si="47"/>
        <v>86.536284448237922</v>
      </c>
      <c r="F141" s="69">
        <f t="shared" si="42"/>
        <v>140.4032717493524</v>
      </c>
      <c r="G141" s="69">
        <f t="shared" si="31"/>
        <v>127.24585887482529</v>
      </c>
      <c r="H141" s="69">
        <f t="shared" si="32"/>
        <v>115.24250465275604</v>
      </c>
      <c r="I141" s="69">
        <f t="shared" si="33"/>
        <v>112.62018137969153</v>
      </c>
      <c r="J141" s="69">
        <f t="shared" si="34"/>
        <v>236.58014730726993</v>
      </c>
      <c r="K141" s="69">
        <f t="shared" si="35"/>
        <v>201.09768631172622</v>
      </c>
      <c r="L141" s="69">
        <f t="shared" si="36"/>
        <v>50.715278714482999</v>
      </c>
      <c r="M141" s="69">
        <f t="shared" si="37"/>
        <v>89.694850121563604</v>
      </c>
      <c r="N141" s="69">
        <f t="shared" si="38"/>
        <v>61.308640276760293</v>
      </c>
      <c r="O141" s="70">
        <f t="shared" si="39"/>
        <v>71.150316770784372</v>
      </c>
      <c r="P141" s="70">
        <f t="shared" si="40"/>
        <v>76.506338205166657</v>
      </c>
      <c r="X141" s="78">
        <f>AVERAGE(CAPEX!$C141:$G141)</f>
        <v>141.26897772734682</v>
      </c>
      <c r="Y141" s="79">
        <f>AVERAGE(CAPEX!$H141:$K141)</f>
        <v>166.38512991286092</v>
      </c>
      <c r="Z141" s="79">
        <f>AVERAGE(CAPEX!$L141:$N141)</f>
        <v>67.239589704268965</v>
      </c>
      <c r="AA141" s="79">
        <f>AVERAGE(CAPEX!$P141)</f>
        <v>76.506338205166657</v>
      </c>
      <c r="AB141" s="99">
        <f t="shared" si="29"/>
        <v>9.9265380681005252E-2</v>
      </c>
      <c r="AC141" s="99">
        <f t="shared" si="43"/>
        <v>0.20862775668141098</v>
      </c>
      <c r="AD141" s="99">
        <f t="shared" si="44"/>
        <v>8.8206210858721573E-2</v>
      </c>
    </row>
    <row r="142" spans="2:30" x14ac:dyDescent="0.3">
      <c r="B142" s="71">
        <f t="shared" ref="B142:B160" si="48">B141+$B$141</f>
        <v>20000</v>
      </c>
      <c r="C142" s="72">
        <f t="shared" si="45"/>
        <v>153.66138668600445</v>
      </c>
      <c r="D142" s="72">
        <f t="shared" si="46"/>
        <v>70.932470791438504</v>
      </c>
      <c r="E142" s="72">
        <f t="shared" si="47"/>
        <v>66.774866106113237</v>
      </c>
      <c r="F142" s="72">
        <f t="shared" si="42"/>
        <v>104.65030776865555</v>
      </c>
      <c r="G142" s="72">
        <f t="shared" si="31"/>
        <v>94.77764412075966</v>
      </c>
      <c r="H142" s="72">
        <f t="shared" si="32"/>
        <v>85.244160958919196</v>
      </c>
      <c r="I142" s="72">
        <f t="shared" si="33"/>
        <v>81.307783949587844</v>
      </c>
      <c r="J142" s="72">
        <f t="shared" si="34"/>
        <v>209.98503368706366</v>
      </c>
      <c r="K142" s="72">
        <f t="shared" si="35"/>
        <v>163.79558641682274</v>
      </c>
      <c r="L142" s="72">
        <f t="shared" si="36"/>
        <v>32.342258904400822</v>
      </c>
      <c r="M142" s="72">
        <f t="shared" si="37"/>
        <v>69.157568090254316</v>
      </c>
      <c r="N142" s="72">
        <f t="shared" si="38"/>
        <v>32.312455944675094</v>
      </c>
      <c r="O142" s="73">
        <f t="shared" si="39"/>
        <v>66.477686698344826</v>
      </c>
      <c r="P142" s="73">
        <f t="shared" si="40"/>
        <v>47.918384599481421</v>
      </c>
      <c r="X142" s="76">
        <f>AVERAGE(CAPEX!$C142:$G142)</f>
        <v>98.159335094594283</v>
      </c>
      <c r="Y142" s="77">
        <f>AVERAGE(CAPEX!$H142:$K142)</f>
        <v>135.08314125309835</v>
      </c>
      <c r="Z142" s="77">
        <f>AVERAGE(CAPEX!$L142:$N142)</f>
        <v>44.604094313110075</v>
      </c>
      <c r="AA142" s="77">
        <f>AVERAGE(CAPEX!$P142)</f>
        <v>47.918384599481421</v>
      </c>
      <c r="AB142" s="98">
        <f t="shared" si="29"/>
        <v>3.4451037902566796E-2</v>
      </c>
      <c r="AC142" s="98">
        <f t="shared" si="43"/>
        <v>0.21255387531984737</v>
      </c>
      <c r="AD142" s="98">
        <f t="shared" si="44"/>
        <v>0.2755719751229701</v>
      </c>
    </row>
    <row r="143" spans="2:30" x14ac:dyDescent="0.3">
      <c r="B143" s="68">
        <f t="shared" si="48"/>
        <v>30000</v>
      </c>
      <c r="C143" s="69">
        <f t="shared" si="45"/>
        <v>118.49509918572483</v>
      </c>
      <c r="D143" s="69">
        <f t="shared" si="46"/>
        <v>61.773522504112009</v>
      </c>
      <c r="E143" s="69">
        <f t="shared" si="47"/>
        <v>57.379253655069398</v>
      </c>
      <c r="F143" s="69">
        <f t="shared" si="42"/>
        <v>88.120675182330714</v>
      </c>
      <c r="G143" s="69">
        <f t="shared" si="31"/>
        <v>79.775057185090603</v>
      </c>
      <c r="H143" s="69">
        <f t="shared" si="32"/>
        <v>71.460317715084827</v>
      </c>
      <c r="I143" s="69">
        <f t="shared" si="33"/>
        <v>67.199993761694515</v>
      </c>
      <c r="J143" s="69">
        <f t="shared" si="34"/>
        <v>198.55908043511278</v>
      </c>
      <c r="K143" s="69">
        <f t="shared" si="35"/>
        <v>145.27108578383675</v>
      </c>
      <c r="L143" s="69">
        <f t="shared" si="36"/>
        <v>24.85919850379414</v>
      </c>
      <c r="M143" s="69">
        <f t="shared" si="37"/>
        <v>60.961979611757677</v>
      </c>
      <c r="N143" s="69">
        <f t="shared" si="38"/>
        <v>22.215784038357615</v>
      </c>
      <c r="O143" s="70">
        <f t="shared" si="39"/>
        <v>63.887950299627086</v>
      </c>
      <c r="P143" s="70">
        <f t="shared" si="40"/>
        <v>36.445219402125865</v>
      </c>
      <c r="X143" s="78">
        <f>AVERAGE(CAPEX!$C143:$G143)</f>
        <v>81.108721542465503</v>
      </c>
      <c r="Y143" s="79">
        <f>AVERAGE(CAPEX!$H143:$K143)</f>
        <v>120.62261942393221</v>
      </c>
      <c r="Z143" s="79">
        <f>AVERAGE(CAPEX!$L143:$N143)</f>
        <v>36.012320717969807</v>
      </c>
      <c r="AA143" s="79">
        <f>AVERAGE(CAPEX!$P143)</f>
        <v>36.445219402125865</v>
      </c>
      <c r="AB143" s="99">
        <f t="shared" si="29"/>
        <v>1.644292169833602E-2</v>
      </c>
      <c r="AC143" s="99">
        <f t="shared" si="43"/>
        <v>0.20434365028400428</v>
      </c>
      <c r="AD143" s="99">
        <f t="shared" si="44"/>
        <v>0.38310601495692698</v>
      </c>
    </row>
    <row r="144" spans="2:30" x14ac:dyDescent="0.3">
      <c r="B144" s="71">
        <f t="shared" si="48"/>
        <v>40000</v>
      </c>
      <c r="C144" s="72">
        <f t="shared" si="45"/>
        <v>100.911955435585</v>
      </c>
      <c r="D144" s="72">
        <f t="shared" si="46"/>
        <v>56.530418612437416</v>
      </c>
      <c r="E144" s="72">
        <f t="shared" si="47"/>
        <v>51.52616352688969</v>
      </c>
      <c r="F144" s="72">
        <f t="shared" si="42"/>
        <v>78.00165038621931</v>
      </c>
      <c r="G144" s="72">
        <f t="shared" si="31"/>
        <v>70.594060227279769</v>
      </c>
      <c r="H144" s="72">
        <f t="shared" si="32"/>
        <v>63.054573479511248</v>
      </c>
      <c r="I144" s="72">
        <f t="shared" si="33"/>
        <v>58.701341534022646</v>
      </c>
      <c r="J144" s="72">
        <f t="shared" si="34"/>
        <v>191.87660707149539</v>
      </c>
      <c r="K144" s="72">
        <f t="shared" si="35"/>
        <v>133.41274393402321</v>
      </c>
      <c r="L144" s="72">
        <f t="shared" si="36"/>
        <v>20.625376366916758</v>
      </c>
      <c r="M144" s="72">
        <f t="shared" si="37"/>
        <v>56.38325900324125</v>
      </c>
      <c r="N144" s="72">
        <f t="shared" si="38"/>
        <v>17.030141338370932</v>
      </c>
      <c r="O144" s="73">
        <f t="shared" si="39"/>
        <v>62.111920639795812</v>
      </c>
      <c r="P144" s="73">
        <f t="shared" si="40"/>
        <v>30.01282817204223</v>
      </c>
      <c r="X144" s="76">
        <f>AVERAGE(CAPEX!$C144:$G144)</f>
        <v>71.512849637682251</v>
      </c>
      <c r="Y144" s="77">
        <f>AVERAGE(CAPEX!$H144:$K144)</f>
        <v>111.76131650476313</v>
      </c>
      <c r="Z144" s="77">
        <f>AVERAGE(CAPEX!$L144:$N144)</f>
        <v>31.346258902842976</v>
      </c>
      <c r="AA144" s="77">
        <f>AVERAGE(CAPEX!$P144)</f>
        <v>30.01282817204223</v>
      </c>
      <c r="AB144" s="98">
        <f t="shared" si="29"/>
        <v>1.2847892582347111E-2</v>
      </c>
      <c r="AC144" s="98">
        <f t="shared" si="43"/>
        <v>0.19372917308411738</v>
      </c>
      <c r="AD144" s="98">
        <f t="shared" si="44"/>
        <v>0.45670896832839059</v>
      </c>
    </row>
    <row r="145" spans="2:30" x14ac:dyDescent="0.3">
      <c r="B145" s="68">
        <f t="shared" si="48"/>
        <v>50000</v>
      </c>
      <c r="C145" s="69">
        <f t="shared" si="45"/>
        <v>90.362069185501127</v>
      </c>
      <c r="D145" s="69">
        <f t="shared" si="46"/>
        <v>53.057065201279762</v>
      </c>
      <c r="E145" s="69">
        <f t="shared" si="47"/>
        <v>47.400558916703496</v>
      </c>
      <c r="F145" s="69">
        <f t="shared" si="42"/>
        <v>70.960055455608057</v>
      </c>
      <c r="G145" s="69">
        <f t="shared" si="31"/>
        <v>64.206856168339414</v>
      </c>
      <c r="H145" s="69">
        <f t="shared" si="32"/>
        <v>57.22169743817409</v>
      </c>
      <c r="I145" s="69">
        <f t="shared" si="33"/>
        <v>52.856733477207364</v>
      </c>
      <c r="J145" s="69">
        <f t="shared" si="34"/>
        <v>187.37965927848461</v>
      </c>
      <c r="K145" s="69">
        <f t="shared" si="35"/>
        <v>124.88548151083073</v>
      </c>
      <c r="L145" s="69">
        <f t="shared" si="36"/>
        <v>17.844619163249995</v>
      </c>
      <c r="M145" s="69">
        <f t="shared" si="37"/>
        <v>53.403695086207613</v>
      </c>
      <c r="N145" s="69">
        <f t="shared" si="38"/>
        <v>13.857133477989024</v>
      </c>
      <c r="O145" s="70">
        <f t="shared" si="39"/>
        <v>60.768396611662581</v>
      </c>
      <c r="P145" s="70">
        <f t="shared" si="40"/>
        <v>25.816220575760024</v>
      </c>
      <c r="X145" s="78">
        <f>AVERAGE(CAPEX!$C145:$G145)</f>
        <v>65.197320985486357</v>
      </c>
      <c r="Y145" s="79">
        <f>AVERAGE(CAPEX!$H145:$K145)</f>
        <v>105.5858929261742</v>
      </c>
      <c r="Z145" s="79">
        <f>AVERAGE(CAPEX!$L145:$N145)</f>
        <v>28.368482575815545</v>
      </c>
      <c r="AA145" s="79">
        <f>AVERAGE(CAPEX!$P145)</f>
        <v>25.816220575760024</v>
      </c>
      <c r="AB145" s="99">
        <f t="shared" si="29"/>
        <v>1.5191802395798313E-2</v>
      </c>
      <c r="AC145" s="99">
        <f t="shared" si="43"/>
        <v>0.18278567382245686</v>
      </c>
      <c r="AD145" s="99">
        <f t="shared" si="44"/>
        <v>0.51153067701258059</v>
      </c>
    </row>
    <row r="146" spans="2:30" x14ac:dyDescent="0.3">
      <c r="B146" s="71">
        <f t="shared" si="48"/>
        <v>60000</v>
      </c>
      <c r="C146" s="72">
        <f t="shared" si="45"/>
        <v>83.328811685445203</v>
      </c>
      <c r="D146" s="72">
        <f t="shared" si="46"/>
        <v>50.55275404005026</v>
      </c>
      <c r="E146" s="72">
        <f t="shared" si="47"/>
        <v>44.276132312773292</v>
      </c>
      <c r="F146" s="72">
        <f t="shared" si="42"/>
        <v>65.681202893017144</v>
      </c>
      <c r="G146" s="72">
        <f t="shared" si="31"/>
        <v>59.419552403977164</v>
      </c>
      <c r="H146" s="72">
        <f t="shared" si="32"/>
        <v>52.858750717324973</v>
      </c>
      <c r="I146" s="72">
        <f t="shared" si="33"/>
        <v>48.516016465720149</v>
      </c>
      <c r="J146" s="72">
        <f t="shared" si="34"/>
        <v>184.09675551941689</v>
      </c>
      <c r="K146" s="72">
        <f t="shared" si="35"/>
        <v>118.32439806635706</v>
      </c>
      <c r="L146" s="72">
        <f t="shared" si="36"/>
        <v>15.853262656643944</v>
      </c>
      <c r="M146" s="72">
        <f t="shared" si="37"/>
        <v>51.285555216797015</v>
      </c>
      <c r="N146" s="72">
        <f t="shared" si="38"/>
        <v>11.708733708256029</v>
      </c>
      <c r="O146" s="73">
        <f t="shared" si="39"/>
        <v>59.692259101255075</v>
      </c>
      <c r="P146" s="73">
        <f t="shared" si="40"/>
        <v>22.826815151448592</v>
      </c>
      <c r="X146" s="76">
        <f>AVERAGE(CAPEX!$C146:$G146)</f>
        <v>60.65169066705262</v>
      </c>
      <c r="Y146" s="77">
        <f>AVERAGE(CAPEX!$H146:$K146)</f>
        <v>100.94898019220477</v>
      </c>
      <c r="Z146" s="77">
        <f>AVERAGE(CAPEX!$L146:$N146)</f>
        <v>26.282517193898997</v>
      </c>
      <c r="AA146" s="77">
        <f>AVERAGE(CAPEX!$P146)</f>
        <v>22.826815151448592</v>
      </c>
      <c r="AB146" s="98">
        <f t="shared" si="29"/>
        <v>2.0314986268713878E-2</v>
      </c>
      <c r="AC146" s="98">
        <f t="shared" si="43"/>
        <v>0.17212078657030366</v>
      </c>
      <c r="AD146" s="98">
        <f t="shared" si="44"/>
        <v>0.55450485880500078</v>
      </c>
    </row>
    <row r="147" spans="2:30" x14ac:dyDescent="0.3">
      <c r="B147" s="68">
        <f t="shared" si="48"/>
        <v>70000</v>
      </c>
      <c r="C147" s="69">
        <f t="shared" si="45"/>
        <v>78.305056328262381</v>
      </c>
      <c r="D147" s="69">
        <f t="shared" si="46"/>
        <v>48.643988814572253</v>
      </c>
      <c r="E147" s="69">
        <f t="shared" si="47"/>
        <v>41.795697500661724</v>
      </c>
      <c r="F147" s="69">
        <f t="shared" si="42"/>
        <v>61.525571871484374</v>
      </c>
      <c r="G147" s="69">
        <f t="shared" si="31"/>
        <v>55.651514847433241</v>
      </c>
      <c r="H147" s="69">
        <f t="shared" si="32"/>
        <v>49.430504290052312</v>
      </c>
      <c r="I147" s="69">
        <f t="shared" si="33"/>
        <v>45.125304308780244</v>
      </c>
      <c r="J147" s="69">
        <f t="shared" si="34"/>
        <v>181.56862875356219</v>
      </c>
      <c r="K147" s="69">
        <f t="shared" si="35"/>
        <v>113.04674293003168</v>
      </c>
      <c r="L147" s="69">
        <f t="shared" si="36"/>
        <v>14.343997094971121</v>
      </c>
      <c r="M147" s="69">
        <f t="shared" si="37"/>
        <v>49.689923201373539</v>
      </c>
      <c r="N147" s="69">
        <f t="shared" si="38"/>
        <v>10.154325841386378</v>
      </c>
      <c r="O147" s="70">
        <f t="shared" si="39"/>
        <v>58.797279220447507</v>
      </c>
      <c r="P147" s="70">
        <f t="shared" si="40"/>
        <v>20.571039541056127</v>
      </c>
      <c r="X147" s="78">
        <f>AVERAGE(CAPEX!$C147:$G147)</f>
        <v>57.184365872482793</v>
      </c>
      <c r="Y147" s="79">
        <f>AVERAGE(CAPEX!$H147:$K147)</f>
        <v>97.292795070606616</v>
      </c>
      <c r="Z147" s="79">
        <f>AVERAGE(CAPEX!$L147:$N147)</f>
        <v>24.729415379243679</v>
      </c>
      <c r="AA147" s="79">
        <f>AVERAGE(CAPEX!$P147)</f>
        <v>20.571039541056127</v>
      </c>
      <c r="AB147" s="99">
        <f t="shared" si="29"/>
        <v>2.6805421406048378E-2</v>
      </c>
      <c r="AC147" s="99">
        <f t="shared" si="43"/>
        <v>0.16192306786943708</v>
      </c>
      <c r="AD147" s="99">
        <f t="shared" si="44"/>
        <v>0.58938269725901882</v>
      </c>
    </row>
    <row r="148" spans="2:30" x14ac:dyDescent="0.3">
      <c r="B148" s="71">
        <f t="shared" si="48"/>
        <v>80000</v>
      </c>
      <c r="C148" s="72">
        <f t="shared" si="45"/>
        <v>74.537239810375283</v>
      </c>
      <c r="D148" s="72">
        <f t="shared" si="46"/>
        <v>47.130798221610192</v>
      </c>
      <c r="E148" s="72">
        <f t="shared" si="47"/>
        <v>39.759653333946794</v>
      </c>
      <c r="F148" s="72">
        <f t="shared" si="42"/>
        <v>58.138935209097575</v>
      </c>
      <c r="G148" s="72">
        <f t="shared" si="31"/>
        <v>52.58119027545267</v>
      </c>
      <c r="H148" s="72">
        <f t="shared" si="32"/>
        <v>46.641074203300946</v>
      </c>
      <c r="I148" s="72">
        <f t="shared" si="33"/>
        <v>42.380290428656295</v>
      </c>
      <c r="J148" s="72">
        <f t="shared" si="34"/>
        <v>179.54670620420683</v>
      </c>
      <c r="K148" s="72">
        <f t="shared" si="35"/>
        <v>108.66568894421187</v>
      </c>
      <c r="L148" s="72">
        <f t="shared" si="36"/>
        <v>13.153260306721581</v>
      </c>
      <c r="M148" s="72">
        <f t="shared" si="37"/>
        <v>48.437564319700861</v>
      </c>
      <c r="N148" s="72">
        <f t="shared" si="38"/>
        <v>8.9756629611029144</v>
      </c>
      <c r="O148" s="73">
        <f t="shared" si="39"/>
        <v>58.032866021199084</v>
      </c>
      <c r="P148" s="73">
        <f t="shared" si="40"/>
        <v>18.798001276826835</v>
      </c>
      <c r="X148" s="76">
        <f>AVERAGE(CAPEX!$C148:$G148)</f>
        <v>54.429563370096503</v>
      </c>
      <c r="Y148" s="77">
        <f>AVERAGE(CAPEX!$H148:$K148)</f>
        <v>94.30843994509398</v>
      </c>
      <c r="Z148" s="77">
        <f>AVERAGE(CAPEX!$L148:$N148)</f>
        <v>23.52216252917512</v>
      </c>
      <c r="AA148" s="77">
        <f>AVERAGE(CAPEX!$P148)</f>
        <v>18.798001276826835</v>
      </c>
      <c r="AB148" s="98">
        <f t="shared" si="29"/>
        <v>3.3958991772095042E-2</v>
      </c>
      <c r="AC148" s="98">
        <f t="shared" si="43"/>
        <v>0.15223715934095211</v>
      </c>
      <c r="AD148" s="98">
        <f t="shared" si="44"/>
        <v>0.6184167612152931</v>
      </c>
    </row>
    <row r="149" spans="2:30" x14ac:dyDescent="0.3">
      <c r="B149" s="68">
        <f t="shared" si="48"/>
        <v>90000</v>
      </c>
      <c r="C149" s="69">
        <f t="shared" si="45"/>
        <v>71.606715852018652</v>
      </c>
      <c r="D149" s="69">
        <f t="shared" si="46"/>
        <v>45.895501775655745</v>
      </c>
      <c r="E149" s="69">
        <f t="shared" si="47"/>
        <v>38.046222703057566</v>
      </c>
      <c r="F149" s="69">
        <f t="shared" si="42"/>
        <v>55.306783793844552</v>
      </c>
      <c r="G149" s="69">
        <f t="shared" si="31"/>
        <v>50.013884971651223</v>
      </c>
      <c r="H149" s="69">
        <f t="shared" si="32"/>
        <v>44.311576039828303</v>
      </c>
      <c r="I149" s="69">
        <f t="shared" si="33"/>
        <v>40.097956744954352</v>
      </c>
      <c r="J149" s="69">
        <f t="shared" si="34"/>
        <v>177.88336418892393</v>
      </c>
      <c r="K149" s="69">
        <f t="shared" si="35"/>
        <v>104.94247224755009</v>
      </c>
      <c r="L149" s="69">
        <f t="shared" si="36"/>
        <v>12.185277610917689</v>
      </c>
      <c r="M149" s="69">
        <f t="shared" si="37"/>
        <v>47.424090385984286</v>
      </c>
      <c r="N149" s="69">
        <f t="shared" si="38"/>
        <v>8.0501061222528385</v>
      </c>
      <c r="O149" s="70">
        <f t="shared" si="39"/>
        <v>57.366859049089022</v>
      </c>
      <c r="P149" s="70">
        <f t="shared" si="40"/>
        <v>17.361359181864398</v>
      </c>
      <c r="X149" s="78">
        <f>AVERAGE(CAPEX!$C149:$G149)</f>
        <v>52.173821819245553</v>
      </c>
      <c r="Y149" s="79">
        <f>AVERAGE(CAPEX!$H149:$K149)</f>
        <v>91.808842305314172</v>
      </c>
      <c r="Z149" s="79">
        <f>AVERAGE(CAPEX!$L149:$N149)</f>
        <v>22.553158039718269</v>
      </c>
      <c r="AA149" s="79">
        <f>AVERAGE(CAPEX!$P149)</f>
        <v>17.361359181864398</v>
      </c>
      <c r="AB149" s="99">
        <f t="shared" si="29"/>
        <v>4.1398861963330175E-2</v>
      </c>
      <c r="AC149" s="99">
        <f t="shared" si="43"/>
        <v>0.14305408512351647</v>
      </c>
      <c r="AD149" s="99">
        <f t="shared" si="44"/>
        <v>0.64306080292277334</v>
      </c>
    </row>
    <row r="150" spans="2:30" x14ac:dyDescent="0.3">
      <c r="B150" s="71">
        <f t="shared" si="48"/>
        <v>100000</v>
      </c>
      <c r="C150" s="72">
        <f t="shared" si="45"/>
        <v>69.262296685333354</v>
      </c>
      <c r="D150" s="72">
        <f t="shared" si="46"/>
        <v>44.863884927429162</v>
      </c>
      <c r="E150" s="72">
        <f t="shared" si="47"/>
        <v>36.57617143143078</v>
      </c>
      <c r="F150" s="72">
        <f t="shared" si="42"/>
        <v>52.890445857751168</v>
      </c>
      <c r="G150" s="72">
        <f t="shared" si="31"/>
        <v>47.823753305968026</v>
      </c>
      <c r="H150" s="72">
        <f t="shared" si="32"/>
        <v>42.326532224025492</v>
      </c>
      <c r="I150" s="72">
        <f t="shared" si="33"/>
        <v>38.160690323845508</v>
      </c>
      <c r="J150" s="72">
        <f t="shared" si="34"/>
        <v>176.48476594455295</v>
      </c>
      <c r="K150" s="72">
        <f t="shared" si="35"/>
        <v>101.72016920823715</v>
      </c>
      <c r="L150" s="72">
        <f t="shared" si="36"/>
        <v>11.379909716703338</v>
      </c>
      <c r="M150" s="72">
        <f t="shared" si="37"/>
        <v>46.584258202432125</v>
      </c>
      <c r="N150" s="72">
        <f t="shared" si="38"/>
        <v>7.3033427752715969</v>
      </c>
      <c r="O150" s="73">
        <f t="shared" si="39"/>
        <v>56.777574780519558</v>
      </c>
      <c r="P150" s="73">
        <f t="shared" si="40"/>
        <v>16.169530727465546</v>
      </c>
      <c r="X150" s="76">
        <f>AVERAGE(CAPEX!$C150:$G150)</f>
        <v>50.283310441582486</v>
      </c>
      <c r="Y150" s="77">
        <f>AVERAGE(CAPEX!$H150:$K150)</f>
        <v>89.673039425165285</v>
      </c>
      <c r="Z150" s="77">
        <f>AVERAGE(CAPEX!$L150:$N150)</f>
        <v>21.755836898135687</v>
      </c>
      <c r="AA150" s="77">
        <f>AVERAGE(CAPEX!$P150)</f>
        <v>16.169530727465546</v>
      </c>
      <c r="AB150" s="98">
        <f t="shared" si="29"/>
        <v>4.8913985853654043E-2</v>
      </c>
      <c r="AC150" s="98">
        <f t="shared" si="43"/>
        <v>0.13434505912031164</v>
      </c>
      <c r="AD150" s="98">
        <f t="shared" si="44"/>
        <v>0.66430421364772052</v>
      </c>
    </row>
    <row r="151" spans="2:30" x14ac:dyDescent="0.3">
      <c r="B151" s="68">
        <f t="shared" si="48"/>
        <v>110000</v>
      </c>
      <c r="C151" s="69">
        <f t="shared" si="45"/>
        <v>67.344135548954455</v>
      </c>
      <c r="D151" s="69">
        <f t="shared" si="46"/>
        <v>43.986598977313392</v>
      </c>
      <c r="E151" s="69">
        <f t="shared" si="47"/>
        <v>35.295340827794561</v>
      </c>
      <c r="F151" s="69">
        <f t="shared" si="42"/>
        <v>50.795674265851261</v>
      </c>
      <c r="G151" s="69">
        <f t="shared" si="31"/>
        <v>45.925275074912975</v>
      </c>
      <c r="H151" s="69">
        <f t="shared" si="32"/>
        <v>40.607557741153933</v>
      </c>
      <c r="I151" s="69">
        <f t="shared" si="33"/>
        <v>36.488974707714668</v>
      </c>
      <c r="J151" s="69">
        <f t="shared" si="34"/>
        <v>175.28807839330244</v>
      </c>
      <c r="K151" s="69">
        <f t="shared" si="35"/>
        <v>98.89056066034621</v>
      </c>
      <c r="L151" s="69">
        <f t="shared" si="36"/>
        <v>10.69731941872775</v>
      </c>
      <c r="M151" s="69">
        <f t="shared" si="37"/>
        <v>45.875026963460712</v>
      </c>
      <c r="N151" s="69">
        <f t="shared" si="38"/>
        <v>6.6876701281713906</v>
      </c>
      <c r="O151" s="70">
        <f t="shared" si="39"/>
        <v>56.249718686666441</v>
      </c>
      <c r="P151" s="70">
        <f t="shared" si="40"/>
        <v>15.16203006601096</v>
      </c>
      <c r="X151" s="78">
        <f>AVERAGE(CAPEX!$C151:$G151)</f>
        <v>48.669404938965329</v>
      </c>
      <c r="Y151" s="79">
        <f>AVERAGE(CAPEX!$H151:$K151)</f>
        <v>87.818792875629313</v>
      </c>
      <c r="Z151" s="79">
        <f>AVERAGE(CAPEX!$L151:$N151)</f>
        <v>21.08667217011995</v>
      </c>
      <c r="AA151" s="79">
        <f>AVERAGE(CAPEX!$P151)</f>
        <v>15.16203006601096</v>
      </c>
      <c r="AB151" s="99">
        <f t="shared" si="29"/>
        <v>5.638305764152398E-2</v>
      </c>
      <c r="AC151" s="99">
        <f t="shared" si="43"/>
        <v>0.12607515341729816</v>
      </c>
      <c r="AD151" s="99">
        <f t="shared" si="44"/>
        <v>0.68284848011020471</v>
      </c>
    </row>
    <row r="152" spans="2:30" x14ac:dyDescent="0.3">
      <c r="B152" s="71">
        <f t="shared" si="48"/>
        <v>120000</v>
      </c>
      <c r="C152" s="72">
        <f t="shared" si="45"/>
        <v>65.745667935305377</v>
      </c>
      <c r="D152" s="72">
        <f t="shared" si="46"/>
        <v>43.229425201585997</v>
      </c>
      <c r="E152" s="72">
        <f t="shared" si="47"/>
        <v>34.165238613294648</v>
      </c>
      <c r="F152" s="72">
        <f t="shared" si="42"/>
        <v>48.955825685033979</v>
      </c>
      <c r="G152" s="72">
        <f t="shared" si="31"/>
        <v>44.257984042521578</v>
      </c>
      <c r="H152" s="72">
        <f t="shared" si="32"/>
        <v>39.099287782854276</v>
      </c>
      <c r="I152" s="72">
        <f t="shared" si="33"/>
        <v>35.026846312651728</v>
      </c>
      <c r="J152" s="72">
        <f t="shared" si="34"/>
        <v>174.24945976553059</v>
      </c>
      <c r="K152" s="72">
        <f t="shared" si="35"/>
        <v>96.376117120778616</v>
      </c>
      <c r="L152" s="72">
        <f t="shared" si="36"/>
        <v>10.109977472611705</v>
      </c>
      <c r="M152" s="72">
        <f t="shared" si="37"/>
        <v>45.266762862000668</v>
      </c>
      <c r="N152" s="72">
        <f t="shared" si="38"/>
        <v>6.1710378897339133</v>
      </c>
      <c r="O152" s="73">
        <f t="shared" si="39"/>
        <v>55.772110075539025</v>
      </c>
      <c r="P152" s="73">
        <f t="shared" si="40"/>
        <v>14.297169793633048</v>
      </c>
      <c r="X152" s="76">
        <f>AVERAGE(CAPEX!$C152:$G152)</f>
        <v>47.270828295548313</v>
      </c>
      <c r="Y152" s="77">
        <f>AVERAGE(CAPEX!$H152:$K152)</f>
        <v>86.187927745453806</v>
      </c>
      <c r="Z152" s="77">
        <f>AVERAGE(CAPEX!$L152:$N152)</f>
        <v>20.515926074782097</v>
      </c>
      <c r="AA152" s="77">
        <f>AVERAGE(CAPEX!$P152)</f>
        <v>14.297169793633048</v>
      </c>
      <c r="AB152" s="98">
        <f t="shared" si="29"/>
        <v>6.3735804124051429E-2</v>
      </c>
      <c r="AC152" s="98">
        <f t="shared" si="43"/>
        <v>0.11820900724535881</v>
      </c>
      <c r="AD152" s="98">
        <f t="shared" si="44"/>
        <v>0.69920744170943028</v>
      </c>
    </row>
    <row r="153" spans="2:30" x14ac:dyDescent="0.3">
      <c r="B153" s="68">
        <f t="shared" si="48"/>
        <v>130000</v>
      </c>
      <c r="C153" s="69">
        <f t="shared" si="45"/>
        <v>64.393118416063857</v>
      </c>
      <c r="D153" s="69">
        <f t="shared" si="46"/>
        <v>42.567814965628521</v>
      </c>
      <c r="E153" s="69">
        <f t="shared" si="47"/>
        <v>33.157626141201618</v>
      </c>
      <c r="F153" s="69">
        <f t="shared" si="42"/>
        <v>47.322234867745003</v>
      </c>
      <c r="G153" s="69">
        <f t="shared" si="31"/>
        <v>42.777729772796178</v>
      </c>
      <c r="H153" s="69">
        <f t="shared" si="32"/>
        <v>37.761334176423397</v>
      </c>
      <c r="I153" s="69">
        <f t="shared" si="33"/>
        <v>33.733612112790418</v>
      </c>
      <c r="J153" s="69">
        <f t="shared" si="34"/>
        <v>173.33727946712028</v>
      </c>
      <c r="K153" s="69">
        <f t="shared" si="35"/>
        <v>94.119549908099174</v>
      </c>
      <c r="L153" s="69">
        <f t="shared" si="36"/>
        <v>9.5981952645179049</v>
      </c>
      <c r="M153" s="69">
        <f t="shared" si="37"/>
        <v>44.738342641089027</v>
      </c>
      <c r="N153" s="69">
        <f t="shared" si="38"/>
        <v>5.7311005330907845</v>
      </c>
      <c r="O153" s="70">
        <f t="shared" si="39"/>
        <v>55.33633469255313</v>
      </c>
      <c r="P153" s="70">
        <f t="shared" si="40"/>
        <v>13.545207212073178</v>
      </c>
      <c r="X153" s="78">
        <f>AVERAGE(CAPEX!$C153:$G153)</f>
        <v>46.043704832687034</v>
      </c>
      <c r="Y153" s="79">
        <f>AVERAGE(CAPEX!$H153:$K153)</f>
        <v>84.737943916108321</v>
      </c>
      <c r="Z153" s="79">
        <f>AVERAGE(CAPEX!$L153:$N153)</f>
        <v>20.022546146232571</v>
      </c>
      <c r="AA153" s="79">
        <f>AVERAGE(CAPEX!$P153)</f>
        <v>13.545207212073178</v>
      </c>
      <c r="AB153" s="99">
        <f t="shared" si="29"/>
        <v>7.0932064910039491E-2</v>
      </c>
      <c r="AC153" s="99"/>
      <c r="AD153" s="99">
        <f t="shared" si="44"/>
        <v>0.71376764517188318</v>
      </c>
    </row>
    <row r="154" spans="2:30" x14ac:dyDescent="0.3">
      <c r="B154" s="71">
        <f t="shared" si="48"/>
        <v>140000</v>
      </c>
      <c r="C154" s="72">
        <f t="shared" si="45"/>
        <v>63.233790256713974</v>
      </c>
      <c r="D154" s="72">
        <f t="shared" si="46"/>
        <v>41.983653535735137</v>
      </c>
      <c r="E154" s="72">
        <f t="shared" si="47"/>
        <v>32.25123567776577</v>
      </c>
      <c r="F154" s="72">
        <f t="shared" si="42"/>
        <v>45.858404521282623</v>
      </c>
      <c r="G154" s="72">
        <f t="shared" si="31"/>
        <v>41.451403728429902</v>
      </c>
      <c r="H154" s="72">
        <f t="shared" si="32"/>
        <v>36.563435311287208</v>
      </c>
      <c r="I154" s="72">
        <f t="shared" si="33"/>
        <v>32.578872174142468</v>
      </c>
      <c r="J154" s="72">
        <f t="shared" si="34"/>
        <v>172.5280759554027</v>
      </c>
      <c r="K154" s="72">
        <f t="shared" si="35"/>
        <v>92.077427096965224</v>
      </c>
      <c r="L154" s="72">
        <f t="shared" si="36"/>
        <v>9.1474853245171204</v>
      </c>
      <c r="M154" s="72">
        <f t="shared" si="37"/>
        <v>44.274270451219223</v>
      </c>
      <c r="N154" s="72">
        <f t="shared" si="38"/>
        <v>5.3517938893524493</v>
      </c>
      <c r="O154" s="73">
        <f t="shared" si="39"/>
        <v>54.935905897990253</v>
      </c>
      <c r="P154" s="73">
        <f t="shared" si="40"/>
        <v>12.884304849305895</v>
      </c>
      <c r="X154" s="76">
        <f>AVERAGE(CAPEX!$C154:$G154)</f>
        <v>44.95569754398548</v>
      </c>
      <c r="Y154" s="77">
        <f>AVERAGE(CAPEX!$H154:$K154)</f>
        <v>83.436952634449398</v>
      </c>
      <c r="Z154" s="77">
        <f>AVERAGE(CAPEX!$L154:$N154)</f>
        <v>19.591183221696266</v>
      </c>
      <c r="AA154" s="77">
        <f>AVERAGE(CAPEX!$P154)</f>
        <v>12.884304849305895</v>
      </c>
      <c r="AB154" s="98">
        <f t="shared" si="29"/>
        <v>7.7949937538549188E-2</v>
      </c>
      <c r="AC154" s="98"/>
      <c r="AD154" s="98">
        <f t="shared" si="44"/>
        <v>0.72682640814539456</v>
      </c>
    </row>
    <row r="155" spans="2:30" x14ac:dyDescent="0.3">
      <c r="B155" s="68">
        <f t="shared" si="48"/>
        <v>150000</v>
      </c>
      <c r="C155" s="69">
        <f t="shared" si="45"/>
        <v>62.229039185277415</v>
      </c>
      <c r="D155" s="69">
        <f t="shared" si="46"/>
        <v>41.463252652982362</v>
      </c>
      <c r="E155" s="69">
        <f t="shared" si="47"/>
        <v>31.429691149964491</v>
      </c>
      <c r="F155" s="69">
        <f t="shared" si="42"/>
        <v>44.536341068224843</v>
      </c>
      <c r="G155" s="69">
        <f t="shared" si="31"/>
        <v>40.253613499067967</v>
      </c>
      <c r="H155" s="69">
        <f t="shared" si="32"/>
        <v>35.482400278000078</v>
      </c>
      <c r="I155" s="69">
        <f t="shared" si="33"/>
        <v>31.539392997038817</v>
      </c>
      <c r="J155" s="69">
        <f t="shared" si="34"/>
        <v>171.80403610462054</v>
      </c>
      <c r="K155" s="69">
        <f t="shared" si="35"/>
        <v>90.216102584059215</v>
      </c>
      <c r="L155" s="69">
        <f t="shared" si="36"/>
        <v>8.7469287608816444</v>
      </c>
      <c r="M155" s="69">
        <f t="shared" si="37"/>
        <v>43.862900124508215</v>
      </c>
      <c r="N155" s="69">
        <f t="shared" si="38"/>
        <v>5.0212675301232013</v>
      </c>
      <c r="O155" s="70">
        <f t="shared" si="39"/>
        <v>54.565720557804994</v>
      </c>
      <c r="P155" s="70">
        <f t="shared" si="40"/>
        <v>12.298037588651844</v>
      </c>
      <c r="X155" s="78">
        <f>AVERAGE(CAPEX!$C155:$G155)</f>
        <v>43.982387511103411</v>
      </c>
      <c r="Y155" s="79">
        <f>AVERAGE(CAPEX!$H155:$K155)</f>
        <v>82.26048299092966</v>
      </c>
      <c r="Z155" s="79">
        <f>AVERAGE(CAPEX!$L155:$N155)</f>
        <v>19.210365471837687</v>
      </c>
      <c r="AA155" s="79">
        <f>AVERAGE(CAPEX!$P155)</f>
        <v>12.298037588651844</v>
      </c>
      <c r="AB155" s="99">
        <f t="shared" si="29"/>
        <v>8.4778799493186008E-2</v>
      </c>
      <c r="AC155" s="99"/>
      <c r="AD155" s="99">
        <f t="shared" si="44"/>
        <v>0.73861676200359871</v>
      </c>
    </row>
    <row r="156" spans="2:30" x14ac:dyDescent="0.3">
      <c r="B156" s="71">
        <f t="shared" si="48"/>
        <v>160000</v>
      </c>
      <c r="C156" s="72">
        <f t="shared" si="45"/>
        <v>61.349881997770424</v>
      </c>
      <c r="D156" s="72">
        <f t="shared" si="46"/>
        <v>40.996056978242287</v>
      </c>
      <c r="E156" s="72">
        <f t="shared" si="47"/>
        <v>30.680142378747995</v>
      </c>
      <c r="F156" s="72">
        <f t="shared" si="42"/>
        <v>43.334157296815619</v>
      </c>
      <c r="G156" s="72">
        <f t="shared" si="31"/>
        <v>39.164507068754212</v>
      </c>
      <c r="H156" s="72">
        <f t="shared" si="32"/>
        <v>34.500111297155811</v>
      </c>
      <c r="I156" s="72">
        <f t="shared" si="33"/>
        <v>30.59706933232971</v>
      </c>
      <c r="J156" s="72">
        <f t="shared" si="34"/>
        <v>171.15136305128686</v>
      </c>
      <c r="K156" s="72">
        <f t="shared" si="35"/>
        <v>88.509025491296029</v>
      </c>
      <c r="L156" s="72">
        <f t="shared" si="36"/>
        <v>8.388126045248022</v>
      </c>
      <c r="M156" s="72">
        <f t="shared" si="37"/>
        <v>43.495295929762882</v>
      </c>
      <c r="N156" s="72">
        <f t="shared" si="38"/>
        <v>4.7305846728234693</v>
      </c>
      <c r="O156" s="73">
        <f t="shared" si="39"/>
        <v>54.221693741613997</v>
      </c>
      <c r="P156" s="73">
        <f t="shared" si="40"/>
        <v>11.773793858345964</v>
      </c>
      <c r="X156" s="76">
        <f>AVERAGE(CAPEX!$C156:$G156)</f>
        <v>43.104949144066111</v>
      </c>
      <c r="Y156" s="77">
        <f>AVERAGE(CAPEX!$H156:$K156)</f>
        <v>81.189392293017107</v>
      </c>
      <c r="Z156" s="77">
        <f>AVERAGE(CAPEX!$L156:$N156)</f>
        <v>18.871335549278125</v>
      </c>
      <c r="AA156" s="77">
        <f>AVERAGE(CAPEX!$P156)</f>
        <v>11.773793858345964</v>
      </c>
      <c r="AB156" s="98">
        <f t="shared" si="29"/>
        <v>9.1415073061380622E-2</v>
      </c>
      <c r="AC156" s="98"/>
      <c r="AD156" s="98">
        <f t="shared" si="44"/>
        <v>0.74932433051859837</v>
      </c>
    </row>
    <row r="157" spans="2:30" x14ac:dyDescent="0.3">
      <c r="B157" s="68">
        <f t="shared" si="48"/>
        <v>170000</v>
      </c>
      <c r="C157" s="69">
        <f t="shared" si="45"/>
        <v>60.574155067617205</v>
      </c>
      <c r="D157" s="69">
        <f t="shared" si="46"/>
        <v>40.573783117817989</v>
      </c>
      <c r="E157" s="69">
        <f t="shared" si="47"/>
        <v>29.992339789176622</v>
      </c>
      <c r="F157" s="69">
        <f t="shared" si="42"/>
        <v>42.23445412962424</v>
      </c>
      <c r="G157" s="69">
        <f t="shared" si="31"/>
        <v>38.168304285669826</v>
      </c>
      <c r="H157" s="69">
        <f t="shared" si="32"/>
        <v>33.602176429083606</v>
      </c>
      <c r="I157" s="69">
        <f t="shared" si="33"/>
        <v>29.737553023071015</v>
      </c>
      <c r="J157" s="69">
        <f t="shared" si="34"/>
        <v>170.55918497074748</v>
      </c>
      <c r="K157" s="69">
        <f t="shared" si="35"/>
        <v>86.934906869110364</v>
      </c>
      <c r="L157" s="69">
        <f t="shared" si="36"/>
        <v>8.0645003777928626</v>
      </c>
      <c r="M157" s="69">
        <f t="shared" si="37"/>
        <v>43.164478157595127</v>
      </c>
      <c r="N157" s="69">
        <f t="shared" si="38"/>
        <v>4.4728762308150651</v>
      </c>
      <c r="O157" s="70">
        <f t="shared" si="39"/>
        <v>53.900506179857153</v>
      </c>
      <c r="P157" s="70">
        <f t="shared" si="40"/>
        <v>11.301716112130473</v>
      </c>
      <c r="X157" s="78">
        <f>AVERAGE(CAPEX!$C157:$G157)</f>
        <v>42.308607277981174</v>
      </c>
      <c r="Y157" s="79">
        <f>AVERAGE(CAPEX!$H157:$K157)</f>
        <v>80.208455323003108</v>
      </c>
      <c r="Z157" s="79">
        <f>AVERAGE(CAPEX!$L157:$N157)</f>
        <v>18.567284922067685</v>
      </c>
      <c r="AA157" s="79">
        <f>AVERAGE(CAPEX!$P157)</f>
        <v>11.301716112130473</v>
      </c>
      <c r="AB157" s="99">
        <f t="shared" si="29"/>
        <v>9.7859590723661127E-2</v>
      </c>
      <c r="AC157" s="99"/>
      <c r="AD157" s="99">
        <f t="shared" si="44"/>
        <v>0.75909906862586363</v>
      </c>
    </row>
    <row r="158" spans="2:30" x14ac:dyDescent="0.3">
      <c r="B158" s="71">
        <f t="shared" si="48"/>
        <v>180000</v>
      </c>
      <c r="C158" s="72">
        <f t="shared" si="45"/>
        <v>59.884620018592109</v>
      </c>
      <c r="D158" s="72">
        <f t="shared" si="46"/>
        <v>40.1898303712425</v>
      </c>
      <c r="E158" s="72">
        <f t="shared" si="47"/>
        <v>29.357990616752936</v>
      </c>
      <c r="F158" s="72">
        <f t="shared" si="42"/>
        <v>41.223198530963138</v>
      </c>
      <c r="G158" s="72">
        <f t="shared" si="31"/>
        <v>37.252278642740045</v>
      </c>
      <c r="H158" s="72">
        <f t="shared" si="32"/>
        <v>32.776996054226039</v>
      </c>
      <c r="I158" s="72">
        <f t="shared" si="33"/>
        <v>28.949305212418892</v>
      </c>
      <c r="J158" s="72">
        <f t="shared" si="34"/>
        <v>170.01880512164317</v>
      </c>
      <c r="K158" s="72">
        <f t="shared" si="35"/>
        <v>85.476437332915708</v>
      </c>
      <c r="L158" s="72">
        <f t="shared" si="36"/>
        <v>7.7708219949455479</v>
      </c>
      <c r="M158" s="72">
        <f t="shared" si="37"/>
        <v>42.864909237834077</v>
      </c>
      <c r="N158" s="72">
        <f t="shared" si="38"/>
        <v>4.2427739100234918</v>
      </c>
      <c r="O158" s="73">
        <f t="shared" si="39"/>
        <v>53.599425214356707</v>
      </c>
      <c r="P158" s="73">
        <f t="shared" si="40"/>
        <v>10.873978626650999</v>
      </c>
      <c r="X158" s="76">
        <f>AVERAGE(CAPEX!$C158:$G158)</f>
        <v>41.581583636058141</v>
      </c>
      <c r="Y158" s="77">
        <f>AVERAGE(CAPEX!$H158:$K158)</f>
        <v>79.305385930300957</v>
      </c>
      <c r="Z158" s="77">
        <f>AVERAGE(CAPEX!$L158:$N158)</f>
        <v>18.292835047601042</v>
      </c>
      <c r="AA158" s="77">
        <f>AVERAGE(CAPEX!$P158)</f>
        <v>10.873978626650999</v>
      </c>
      <c r="AB158" s="98">
        <f t="shared" si="29"/>
        <v>0.10411592379958973</v>
      </c>
      <c r="AC158" s="98"/>
      <c r="AD158" s="98">
        <f t="shared" si="44"/>
        <v>0.76806362168668341</v>
      </c>
    </row>
    <row r="159" spans="2:30" x14ac:dyDescent="0.3">
      <c r="B159" s="68">
        <f t="shared" si="48"/>
        <v>190000</v>
      </c>
      <c r="C159" s="69">
        <f t="shared" si="45"/>
        <v>59.267667606306503</v>
      </c>
      <c r="D159" s="69">
        <f t="shared" si="46"/>
        <v>39.838867542299212</v>
      </c>
      <c r="E159" s="69">
        <f t="shared" si="47"/>
        <v>28.770300463992591</v>
      </c>
      <c r="F159" s="69">
        <f t="shared" si="42"/>
        <v>40.288927011347923</v>
      </c>
      <c r="G159" s="69">
        <f t="shared" si="31"/>
        <v>36.406034560533243</v>
      </c>
      <c r="H159" s="69">
        <f t="shared" si="32"/>
        <v>32.015100697026334</v>
      </c>
      <c r="I159" s="69">
        <f t="shared" si="33"/>
        <v>28.222925542328223</v>
      </c>
      <c r="J159" s="69">
        <f t="shared" si="34"/>
        <v>169.5231739165514</v>
      </c>
      <c r="K159" s="69">
        <f t="shared" si="35"/>
        <v>84.119369344771229</v>
      </c>
      <c r="L159" s="69">
        <f t="shared" si="36"/>
        <v>7.5028753197187044</v>
      </c>
      <c r="M159" s="69">
        <f t="shared" si="37"/>
        <v>42.59213499253606</v>
      </c>
      <c r="N159" s="69">
        <f t="shared" si="38"/>
        <v>4.0360204401705202</v>
      </c>
      <c r="O159" s="70">
        <f t="shared" si="39"/>
        <v>53.31617503566239</v>
      </c>
      <c r="P159" s="70">
        <f t="shared" si="40"/>
        <v>10.484283002174736</v>
      </c>
      <c r="X159" s="78">
        <f>AVERAGE(CAPEX!$C159:$G159)</f>
        <v>40.9143594368959</v>
      </c>
      <c r="Y159" s="79">
        <f>AVERAGE(CAPEX!$H159:$K159)</f>
        <v>78.470142375169303</v>
      </c>
      <c r="Z159" s="79">
        <f>AVERAGE(CAPEX!$L159:$N159)</f>
        <v>18.043676917475093</v>
      </c>
      <c r="AA159" s="79">
        <f>AVERAGE(CAPEX!$P159)</f>
        <v>10.484283002174736</v>
      </c>
      <c r="AB159" s="99">
        <f t="shared" si="29"/>
        <v>0.11018930611185675</v>
      </c>
      <c r="AC159" s="99"/>
      <c r="AD159" s="99">
        <f t="shared" si="44"/>
        <v>0.77631940215790041</v>
      </c>
    </row>
    <row r="160" spans="2:30" x14ac:dyDescent="0.3">
      <c r="B160" s="29">
        <f t="shared" si="48"/>
        <v>200000</v>
      </c>
      <c r="C160" s="74">
        <f t="shared" si="45"/>
        <v>58.71241043524946</v>
      </c>
      <c r="D160" s="74">
        <f t="shared" si="46"/>
        <v>39.51653696544232</v>
      </c>
      <c r="E160" s="74">
        <f t="shared" si="47"/>
        <v>28.223640124842046</v>
      </c>
      <c r="F160" s="74">
        <f t="shared" si="42"/>
        <v>39.4221685012878</v>
      </c>
      <c r="G160" s="74">
        <f t="shared" si="31"/>
        <v>35.620983750920196</v>
      </c>
      <c r="H160" s="74">
        <f t="shared" si="32"/>
        <v>31.30867154102085</v>
      </c>
      <c r="I160" s="74">
        <f t="shared" si="33"/>
        <v>27.550667439946668</v>
      </c>
      <c r="J160" s="74">
        <f t="shared" si="34"/>
        <v>169.06650937158432</v>
      </c>
      <c r="K160" s="74">
        <f t="shared" si="35"/>
        <v>82.851847136891209</v>
      </c>
      <c r="L160" s="74">
        <f t="shared" si="36"/>
        <v>7.2572210129887207</v>
      </c>
      <c r="M160" s="74">
        <f t="shared" si="37"/>
        <v>42.342528726257079</v>
      </c>
      <c r="N160" s="74">
        <f t="shared" si="38"/>
        <v>3.8491954903830798</v>
      </c>
      <c r="O160" s="75">
        <f t="shared" si="39"/>
        <v>53.048840807144202</v>
      </c>
      <c r="P160" s="75">
        <f t="shared" si="40"/>
        <v>10.1274980657681</v>
      </c>
      <c r="X160" s="76">
        <f>AVERAGE(CAPEX!$C160:$G160)</f>
        <v>40.299147955548364</v>
      </c>
      <c r="Y160" s="77">
        <f>AVERAGE(CAPEX!$H160:$K160)</f>
        <v>77.694423872360758</v>
      </c>
      <c r="Z160" s="77">
        <f>AVERAGE(CAPEX!$L160:$N160)</f>
        <v>17.81631507654296</v>
      </c>
      <c r="AA160" s="77">
        <f>AVERAGE(CAPEX!$P160)</f>
        <v>10.1274980657681</v>
      </c>
      <c r="AB160" s="98">
        <f t="shared" si="29"/>
        <v>0.11608593337477947</v>
      </c>
      <c r="AC160" s="98"/>
      <c r="AD160" s="98">
        <f t="shared" si="44"/>
        <v>0.78395108787389223</v>
      </c>
    </row>
    <row r="161" spans="2:32" x14ac:dyDescent="0.3">
      <c r="B161" s="71">
        <v>300000</v>
      </c>
      <c r="C161" s="72">
        <f t="shared" ref="C161" si="49">($D$113*B161^$E$113+$F$113)*$I$113</f>
        <v>55.19578168522149</v>
      </c>
      <c r="D161" s="72">
        <f t="shared" ref="D161" si="50">($D$119*B161^$E$119+$F$119)*$I$119</f>
        <v>37.297085732290896</v>
      </c>
      <c r="E161" s="72">
        <f t="shared" ref="E161" si="51">($D$114*B161^$E$114)*$I$114</f>
        <v>24.252409629982736</v>
      </c>
      <c r="F161" s="72">
        <f t="shared" ref="F161" si="52">($D$122*B161^$E$122)*$I$122</f>
        <v>33.19539311021105</v>
      </c>
      <c r="G161" s="72">
        <f t="shared" ref="G161" si="53">($D$123*B161^$E$123+$F$123)*$I$123</f>
        <v>29.982450419406661</v>
      </c>
      <c r="H161" s="72">
        <f t="shared" ref="H161" si="54">(5295*B161^(-0.435))*$I$115</f>
        <v>26.246109884720408</v>
      </c>
      <c r="I161" s="72">
        <f t="shared" ref="I161" si="55">(7450*B161^(-0.47))*$I$118</f>
        <v>22.770325178741071</v>
      </c>
      <c r="J161" s="72">
        <f t="shared" ref="J161" si="56">($D$120*B161^$E$120+$F$120)*$I$120</f>
        <v>165.87943320322691</v>
      </c>
      <c r="K161" s="72">
        <f t="shared" ref="K161" si="57">($D$124*B161^$E$124+$F$124)*$I$124</f>
        <v>73.48169786543464</v>
      </c>
      <c r="L161" s="72">
        <f t="shared" ref="L161" si="58">($D$117*B161^$E$117+$F$117)*$I$117</f>
        <v>5.5781106162391305</v>
      </c>
      <c r="M161" s="72">
        <f t="shared" ref="M161" si="59">($D$121*B161^$E$121+$F$121)*$I$121</f>
        <v>40.649828145389442</v>
      </c>
      <c r="N161" s="72">
        <f t="shared" ref="N161" si="60">($D$125*B161^$E$125+$F$125)*$I$125</f>
        <v>2.6464375187755649</v>
      </c>
      <c r="O161" s="73">
        <f t="shared" ref="O161" si="61">($D$116*B161^$E$116+$F$116)*$I$116</f>
        <v>50.982244919542964</v>
      </c>
      <c r="P161" s="73">
        <f t="shared" ref="P161" si="62">($D$126*B161^$E$126+$F$126)*$I$126</f>
        <v>7.7026571760834956</v>
      </c>
      <c r="X161" s="76">
        <f>AVERAGE(CAPEX!$C161:$G161)</f>
        <v>35.984624115422562</v>
      </c>
      <c r="Y161" s="77">
        <f>AVERAGE(CAPEX!$H161:$K161)</f>
        <v>72.094391533030759</v>
      </c>
      <c r="Z161" s="77">
        <f>AVERAGE(CAPEX!$L161:$N161)</f>
        <v>16.291458760134713</v>
      </c>
      <c r="AA161" s="77">
        <f>AVERAGE(CAPEX!$P161)</f>
        <v>7.7026571760834956</v>
      </c>
      <c r="AB161" s="98"/>
      <c r="AC161" s="98"/>
      <c r="AD161" s="98">
        <f t="shared" ref="AD161" si="63">ABS(N161-Z161)/Z161</f>
        <v>0.83755674935313884</v>
      </c>
    </row>
    <row r="163" spans="2:32" x14ac:dyDescent="0.3">
      <c r="AB163" s="100">
        <f>AVERAGE(AB131:AB160)</f>
        <v>0.13307653243323481</v>
      </c>
      <c r="AC163" s="100">
        <f>AVERAGE(AC132:AC160)</f>
        <v>0.16691908249208981</v>
      </c>
      <c r="AD163" s="100">
        <f>AVERAGE(AD132:AD161)</f>
        <v>0.50996601701140454</v>
      </c>
      <c r="AF163" s="100"/>
    </row>
    <row r="166" spans="2:32" x14ac:dyDescent="0.3">
      <c r="B166" s="101" t="s">
        <v>233</v>
      </c>
      <c r="C166" s="101"/>
      <c r="D166" s="101"/>
      <c r="E166" s="101"/>
      <c r="F166" s="101"/>
      <c r="G166" s="101"/>
      <c r="H166" s="101"/>
      <c r="I166" s="101"/>
      <c r="J166" s="101"/>
      <c r="K166" s="101"/>
    </row>
    <row r="167" spans="2:32" x14ac:dyDescent="0.3">
      <c r="B167" t="s">
        <v>31</v>
      </c>
      <c r="C167" t="s">
        <v>33</v>
      </c>
      <c r="D167" t="s">
        <v>178</v>
      </c>
      <c r="E167" t="s">
        <v>180</v>
      </c>
      <c r="F167" t="s">
        <v>179</v>
      </c>
      <c r="G167" t="s">
        <v>36</v>
      </c>
      <c r="H167" t="s">
        <v>39</v>
      </c>
      <c r="I167" t="s">
        <v>159</v>
      </c>
      <c r="J167" t="s">
        <v>34</v>
      </c>
      <c r="K167" t="s">
        <v>35</v>
      </c>
    </row>
    <row r="168" spans="2:32" x14ac:dyDescent="0.3">
      <c r="B168" t="s">
        <v>218</v>
      </c>
      <c r="C168" t="s">
        <v>27</v>
      </c>
      <c r="D168" s="1">
        <f>EXP(9.7941)</f>
        <v>17927.659093702146</v>
      </c>
      <c r="E168">
        <v>-2.5999999999999999E-3</v>
      </c>
      <c r="F168">
        <v>0</v>
      </c>
      <c r="G168" t="s">
        <v>145</v>
      </c>
      <c r="H168">
        <v>2025</v>
      </c>
      <c r="I168" s="9">
        <f>'inflation &amp; currencies'!$B$58/INDEX('inflation &amp; currencies'!$B:$B,MATCH(Tabelle38[[#This Row],[year]],'inflation &amp; currencies'!$A:$A,0))/INDEX('inflation &amp; currencies'!$C$3:$AV$58,MATCH(Tabelle38[[#This Row],[year]],'inflation &amp; currencies'!$A$3:$A$58,0),MATCH(Tabelle38[[#This Row],[currency]],'inflation &amp; currencies'!$C$2:$AV$2,0))</f>
        <v>0.83135583333333296</v>
      </c>
      <c r="J168" s="2" t="s">
        <v>209</v>
      </c>
    </row>
    <row r="169" spans="2:32" x14ac:dyDescent="0.3">
      <c r="B169" t="s">
        <v>218</v>
      </c>
      <c r="C169" t="s">
        <v>28</v>
      </c>
      <c r="D169" s="1">
        <v>34401.862999999998</v>
      </c>
      <c r="E169">
        <v>-0.624</v>
      </c>
      <c r="F169">
        <v>0</v>
      </c>
      <c r="G169" t="s">
        <v>145</v>
      </c>
      <c r="H169">
        <v>2025</v>
      </c>
      <c r="I169" s="9">
        <f>'inflation &amp; currencies'!$B$58/INDEX('inflation &amp; currencies'!$B:$B,MATCH(Tabelle38[[#This Row],[year]],'inflation &amp; currencies'!$A:$A,0))/INDEX('inflation &amp; currencies'!$C$3:$AV$58,MATCH(Tabelle38[[#This Row],[year]],'inflation &amp; currencies'!$A$3:$A$58,0),MATCH(Tabelle38[[#This Row],[currency]],'inflation &amp; currencies'!$C$2:$AV$2,0))</f>
        <v>0.83135583333333296</v>
      </c>
      <c r="J169" s="2" t="s">
        <v>209</v>
      </c>
      <c r="K169" s="2"/>
    </row>
    <row r="170" spans="2:32" x14ac:dyDescent="0.3">
      <c r="B170" t="s">
        <v>181</v>
      </c>
      <c r="C170" t="s">
        <v>27</v>
      </c>
      <c r="D170" s="1">
        <v>57526</v>
      </c>
      <c r="E170">
        <v>-0.38800000000000001</v>
      </c>
      <c r="F170">
        <v>0</v>
      </c>
      <c r="G170" t="s">
        <v>38</v>
      </c>
      <c r="H170">
        <v>2025</v>
      </c>
      <c r="I170" s="9">
        <f>'inflation &amp; currencies'!$B$58/INDEX('inflation &amp; currencies'!$B:$B,MATCH(Tabelle38[[#This Row],[year]],'inflation &amp; currencies'!$A:$A,0))/INDEX('inflation &amp; currencies'!$C$3:$AV$58,MATCH(Tabelle38[[#This Row],[year]],'inflation &amp; currencies'!$A$3:$A$58,0),MATCH(Tabelle38[[#This Row],[currency]],'inflation &amp; currencies'!$C$2:$AV$2,0))</f>
        <v>1</v>
      </c>
      <c r="J170" s="2"/>
      <c r="K170" s="2"/>
    </row>
    <row r="171" spans="2:32" x14ac:dyDescent="0.3">
      <c r="B171" t="s">
        <v>181</v>
      </c>
      <c r="C171" t="s">
        <v>28</v>
      </c>
      <c r="D171" s="1">
        <v>245165</v>
      </c>
      <c r="E171">
        <v>-0.871</v>
      </c>
      <c r="F171">
        <v>0</v>
      </c>
      <c r="G171" t="s">
        <v>38</v>
      </c>
      <c r="H171">
        <v>2025</v>
      </c>
      <c r="I171" s="9">
        <f>'inflation &amp; currencies'!$B$58/INDEX('inflation &amp; currencies'!$B:$B,MATCH(Tabelle38[[#This Row],[year]],'inflation &amp; currencies'!$A:$A,0))/INDEX('inflation &amp; currencies'!$C$3:$AV$58,MATCH(Tabelle38[[#This Row],[year]],'inflation &amp; currencies'!$A$3:$A$58,0),MATCH(Tabelle38[[#This Row],[currency]],'inflation &amp; currencies'!$C$2:$AV$2,0))</f>
        <v>1</v>
      </c>
      <c r="J171" s="2"/>
    </row>
    <row r="172" spans="2:32" x14ac:dyDescent="0.3">
      <c r="I172" s="9"/>
      <c r="J172" s="2"/>
    </row>
    <row r="173" spans="2:32" x14ac:dyDescent="0.3">
      <c r="B173" s="101" t="s">
        <v>233</v>
      </c>
      <c r="C173" s="101"/>
      <c r="D173" s="101"/>
      <c r="E173" s="101"/>
      <c r="F173" s="101"/>
      <c r="X173" s="101" t="s">
        <v>233</v>
      </c>
      <c r="Y173" s="101"/>
    </row>
    <row r="174" spans="2:32" x14ac:dyDescent="0.3">
      <c r="B174" s="63" t="s">
        <v>244</v>
      </c>
      <c r="C174" s="66" t="s">
        <v>221</v>
      </c>
      <c r="D174" s="66" t="s">
        <v>187</v>
      </c>
      <c r="E174" s="80" t="s">
        <v>219</v>
      </c>
      <c r="F174" s="67" t="s">
        <v>220</v>
      </c>
      <c r="X174" s="83" t="s">
        <v>202</v>
      </c>
      <c r="Y174" s="67" t="s">
        <v>203</v>
      </c>
    </row>
    <row r="175" spans="2:32" x14ac:dyDescent="0.3">
      <c r="B175" s="68">
        <v>1</v>
      </c>
      <c r="C175" s="69">
        <f t="shared" ref="C175:C203" si="64">($D$117*B175^$E$117+$F$117)*$I$117</f>
        <v>20005.012015710778</v>
      </c>
      <c r="D175" s="69">
        <f t="shared" ref="D175:D203" si="65">($D$171*B175^($E$171)+$F$171)*$I$171</f>
        <v>245165</v>
      </c>
      <c r="E175" s="69">
        <f t="shared" ref="E175:E203" si="66">($D$168*EXP(B175*$E$168)+$F$168)*$I$168</f>
        <v>14865.563212031208</v>
      </c>
      <c r="F175" s="70">
        <f t="shared" ref="F175:F203" si="67">($D$170*B175^($E$170)+$F$170)*$I$170</f>
        <v>57526</v>
      </c>
      <c r="G175" s="1"/>
      <c r="H175" s="1"/>
      <c r="I175" s="1"/>
      <c r="J175" s="1"/>
      <c r="K175" s="1"/>
      <c r="X175" s="84">
        <f>AVERAGE(CAPEX!$C175:$D175)</f>
        <v>132585.00600785538</v>
      </c>
      <c r="Y175" s="70">
        <f>AVERAGE(CAPEX!$E175:$F175)</f>
        <v>36195.781606015604</v>
      </c>
    </row>
    <row r="176" spans="2:32" x14ac:dyDescent="0.3">
      <c r="B176" s="71">
        <f>B175+$B$175</f>
        <v>2</v>
      </c>
      <c r="C176" s="72">
        <f t="shared" si="64"/>
        <v>12757.640190450098</v>
      </c>
      <c r="D176" s="72">
        <f t="shared" si="65"/>
        <v>134048.31021710995</v>
      </c>
      <c r="E176" s="72">
        <f t="shared" si="66"/>
        <v>14826.962949765681</v>
      </c>
      <c r="F176" s="73">
        <f t="shared" si="67"/>
        <v>43960.693866768481</v>
      </c>
      <c r="G176" s="1"/>
      <c r="H176" s="1"/>
      <c r="I176" s="1"/>
      <c r="J176" s="1"/>
      <c r="K176" s="1"/>
      <c r="X176" s="85">
        <f>AVERAGE(CAPEX!$C176:$D176)</f>
        <v>73402.975203780021</v>
      </c>
      <c r="Y176" s="73">
        <f>AVERAGE(CAPEX!$E176:$F176)</f>
        <v>29393.82840826708</v>
      </c>
    </row>
    <row r="177" spans="2:25" x14ac:dyDescent="0.3">
      <c r="B177" s="68">
        <f t="shared" ref="B177:B184" si="68">B176+$B$175</f>
        <v>3</v>
      </c>
      <c r="C177" s="69">
        <f t="shared" si="64"/>
        <v>9805.8923735604349</v>
      </c>
      <c r="D177" s="69">
        <f t="shared" si="65"/>
        <v>94164.207809864689</v>
      </c>
      <c r="E177" s="69">
        <f t="shared" si="66"/>
        <v>14788.46291782616</v>
      </c>
      <c r="F177" s="70">
        <f t="shared" si="67"/>
        <v>37561.344565892672</v>
      </c>
      <c r="G177" s="1"/>
      <c r="H177" s="1"/>
      <c r="I177" s="1"/>
      <c r="J177" s="1"/>
      <c r="K177" s="1"/>
      <c r="X177" s="84">
        <f>AVERAGE(CAPEX!$C177:$D177)</f>
        <v>51985.050091712561</v>
      </c>
      <c r="Y177" s="70">
        <f>AVERAGE(CAPEX!$E177:$F177)</f>
        <v>26174.903741859416</v>
      </c>
    </row>
    <row r="178" spans="2:25" x14ac:dyDescent="0.3">
      <c r="B178" s="71">
        <f t="shared" si="68"/>
        <v>4</v>
      </c>
      <c r="C178" s="72">
        <f t="shared" si="64"/>
        <v>8135.8303159811876</v>
      </c>
      <c r="D178" s="72">
        <f t="shared" si="65"/>
        <v>73293.290119154612</v>
      </c>
      <c r="E178" s="72">
        <f t="shared" si="66"/>
        <v>14750.062855952281</v>
      </c>
      <c r="F178" s="73">
        <f t="shared" si="67"/>
        <v>33594.246171257102</v>
      </c>
      <c r="G178" s="1"/>
      <c r="H178" s="1"/>
      <c r="I178" s="1"/>
      <c r="J178" s="1"/>
      <c r="K178" s="1"/>
      <c r="X178" s="85">
        <f>AVERAGE(CAPEX!$C178:$D178)</f>
        <v>40714.560217567901</v>
      </c>
      <c r="Y178" s="73">
        <f>AVERAGE(CAPEX!$E178:$F178)</f>
        <v>24172.154513604692</v>
      </c>
    </row>
    <row r="179" spans="2:25" x14ac:dyDescent="0.3">
      <c r="B179" s="68">
        <f t="shared" si="68"/>
        <v>5</v>
      </c>
      <c r="C179" s="69">
        <f t="shared" si="64"/>
        <v>7038.9403316964053</v>
      </c>
      <c r="D179" s="69">
        <f t="shared" si="65"/>
        <v>60346.987643382112</v>
      </c>
      <c r="E179" s="69">
        <f t="shared" si="66"/>
        <v>14711.762504559478</v>
      </c>
      <c r="F179" s="70">
        <f t="shared" si="67"/>
        <v>30808.021965480038</v>
      </c>
      <c r="G179" s="1"/>
      <c r="H179" s="1"/>
      <c r="I179" s="1"/>
      <c r="J179" s="1"/>
      <c r="K179" s="1"/>
      <c r="X179" s="84">
        <f>AVERAGE(CAPEX!$C179:$D179)</f>
        <v>33692.96398753926</v>
      </c>
      <c r="Y179" s="70">
        <f>AVERAGE(CAPEX!$E179:$F179)</f>
        <v>22759.892235019757</v>
      </c>
    </row>
    <row r="180" spans="2:25" x14ac:dyDescent="0.3">
      <c r="B180" s="71">
        <f t="shared" si="68"/>
        <v>6</v>
      </c>
      <c r="C180" s="72">
        <f t="shared" si="64"/>
        <v>6253.4352166305325</v>
      </c>
      <c r="D180" s="72">
        <f t="shared" si="65"/>
        <v>51485.95003301918</v>
      </c>
      <c r="E180" s="72">
        <f t="shared" si="66"/>
        <v>14673.56160473723</v>
      </c>
      <c r="F180" s="73">
        <f t="shared" si="67"/>
        <v>28703.938561440322</v>
      </c>
      <c r="G180" s="1"/>
      <c r="H180" s="1"/>
      <c r="I180" s="1"/>
      <c r="J180" s="1"/>
      <c r="K180" s="1"/>
      <c r="X180" s="85">
        <f>AVERAGE(CAPEX!$C180:$D180)</f>
        <v>28869.692624824856</v>
      </c>
      <c r="Y180" s="73">
        <f>AVERAGE(CAPEX!$E180:$F180)</f>
        <v>21688.750083088777</v>
      </c>
    </row>
    <row r="181" spans="2:25" x14ac:dyDescent="0.3">
      <c r="B181" s="68">
        <f t="shared" si="68"/>
        <v>7</v>
      </c>
      <c r="C181" s="69">
        <f t="shared" si="64"/>
        <v>5658.0943950579367</v>
      </c>
      <c r="D181" s="69">
        <f t="shared" si="65"/>
        <v>45017.158334904801</v>
      </c>
      <c r="E181" s="69">
        <f t="shared" si="66"/>
        <v>14635.459898247307</v>
      </c>
      <c r="F181" s="70">
        <f t="shared" si="67"/>
        <v>27037.475406806432</v>
      </c>
      <c r="G181" s="1"/>
      <c r="H181" s="1"/>
      <c r="I181" s="1"/>
      <c r="J181" s="1"/>
      <c r="K181" s="1"/>
      <c r="X181" s="84">
        <f>AVERAGE(CAPEX!$C181:$D181)</f>
        <v>25337.62636498137</v>
      </c>
      <c r="Y181" s="70">
        <f>AVERAGE(CAPEX!$E181:$F181)</f>
        <v>20836.46765252687</v>
      </c>
    </row>
    <row r="182" spans="2:25" x14ac:dyDescent="0.3">
      <c r="B182" s="71">
        <f t="shared" si="68"/>
        <v>8</v>
      </c>
      <c r="C182" s="72">
        <f t="shared" si="64"/>
        <v>5188.3995740832415</v>
      </c>
      <c r="D182" s="72">
        <f t="shared" si="65"/>
        <v>40074.405770501813</v>
      </c>
      <c r="E182" s="72">
        <f t="shared" si="66"/>
        <v>14597.457127522035</v>
      </c>
      <c r="F182" s="73">
        <f t="shared" si="67"/>
        <v>25672.328540477229</v>
      </c>
      <c r="G182" s="1"/>
      <c r="H182" s="1"/>
      <c r="I182" s="1"/>
      <c r="J182" s="1"/>
      <c r="K182" s="1"/>
      <c r="N182" s="1"/>
      <c r="X182" s="85">
        <f>AVERAGE(CAPEX!$C182:$D182)</f>
        <v>22631.402672292526</v>
      </c>
      <c r="Y182" s="73">
        <f>AVERAGE(CAPEX!$E182:$F182)</f>
        <v>20134.892833999631</v>
      </c>
    </row>
    <row r="183" spans="2:25" x14ac:dyDescent="0.3">
      <c r="B183" s="68">
        <f t="shared" si="68"/>
        <v>9</v>
      </c>
      <c r="C183" s="69">
        <f t="shared" si="64"/>
        <v>4806.5717314408867</v>
      </c>
      <c r="D183" s="69">
        <f t="shared" si="65"/>
        <v>36167.063130786948</v>
      </c>
      <c r="E183" s="69">
        <f t="shared" si="66"/>
        <v>14559.55303566253</v>
      </c>
      <c r="F183" s="70">
        <f t="shared" si="67"/>
        <v>24525.512039733603</v>
      </c>
      <c r="G183" s="1"/>
      <c r="H183" s="1"/>
      <c r="I183" s="1"/>
      <c r="J183" s="1"/>
      <c r="K183" s="1"/>
      <c r="N183" s="1"/>
      <c r="X183" s="84">
        <f>AVERAGE(CAPEX!$C183:$D183)</f>
        <v>20486.817431113916</v>
      </c>
      <c r="Y183" s="70">
        <f>AVERAGE(CAPEX!$E183:$F183)</f>
        <v>19542.532537698065</v>
      </c>
    </row>
    <row r="184" spans="2:25" x14ac:dyDescent="0.3">
      <c r="B184" s="71">
        <f t="shared" si="68"/>
        <v>10</v>
      </c>
      <c r="C184" s="72">
        <f t="shared" si="64"/>
        <v>4488.8884847110448</v>
      </c>
      <c r="D184" s="72">
        <f t="shared" si="65"/>
        <v>32995.785370212645</v>
      </c>
      <c r="E184" s="72">
        <f t="shared" si="66"/>
        <v>14521.747366436994</v>
      </c>
      <c r="F184" s="73">
        <f t="shared" si="67"/>
        <v>23543.1287116286</v>
      </c>
      <c r="G184" s="1"/>
      <c r="H184" s="1"/>
      <c r="I184" s="1"/>
      <c r="J184" s="1"/>
      <c r="K184" s="1"/>
      <c r="N184" s="1"/>
      <c r="X184" s="85">
        <f>AVERAGE(CAPEX!$C184:$D184)</f>
        <v>18742.336927461845</v>
      </c>
      <c r="Y184" s="73">
        <f>AVERAGE(CAPEX!$E184:$F184)</f>
        <v>19032.438039032797</v>
      </c>
    </row>
    <row r="185" spans="2:25" x14ac:dyDescent="0.3">
      <c r="B185" s="68">
        <f>B184+$B$184</f>
        <v>20</v>
      </c>
      <c r="C185" s="69">
        <f t="shared" si="64"/>
        <v>2862.6638213475508</v>
      </c>
      <c r="D185" s="69">
        <f t="shared" si="65"/>
        <v>18041.030624940118</v>
      </c>
      <c r="E185" s="69">
        <f t="shared" si="66"/>
        <v>14149.048021553004</v>
      </c>
      <c r="F185" s="70">
        <f t="shared" si="67"/>
        <v>17991.38257410271</v>
      </c>
      <c r="G185" s="1"/>
      <c r="H185" s="1"/>
      <c r="I185" s="1"/>
      <c r="J185" s="1"/>
      <c r="K185" s="1"/>
      <c r="N185" s="1"/>
      <c r="X185" s="84">
        <f>AVERAGE(CAPEX!$C185:$D185)</f>
        <v>10451.847223143835</v>
      </c>
      <c r="Y185" s="70">
        <f>AVERAGE(CAPEX!$E185:$F185)</f>
        <v>16070.215297827857</v>
      </c>
    </row>
    <row r="186" spans="2:25" x14ac:dyDescent="0.3">
      <c r="B186" s="71">
        <f t="shared" ref="B186:B193" si="69">B185+$B$184</f>
        <v>30</v>
      </c>
      <c r="C186" s="72">
        <f t="shared" si="64"/>
        <v>2200.3264643591547</v>
      </c>
      <c r="D186" s="72">
        <f t="shared" si="65"/>
        <v>12673.187406238238</v>
      </c>
      <c r="E186" s="72">
        <f t="shared" si="66"/>
        <v>13785.913971958344</v>
      </c>
      <c r="F186" s="73">
        <f t="shared" si="67"/>
        <v>15372.380657383495</v>
      </c>
      <c r="G186" s="1"/>
      <c r="H186" s="1"/>
      <c r="I186" s="1"/>
      <c r="J186" s="1"/>
      <c r="K186" s="1"/>
      <c r="N186" s="1"/>
      <c r="X186" s="85">
        <f>AVERAGE(CAPEX!$C186:$D186)</f>
        <v>7436.7569352986957</v>
      </c>
      <c r="Y186" s="73">
        <f>AVERAGE(CAPEX!$E186:$F186)</f>
        <v>14579.14731467092</v>
      </c>
    </row>
    <row r="187" spans="2:25" x14ac:dyDescent="0.3">
      <c r="B187" s="68">
        <f t="shared" si="69"/>
        <v>40</v>
      </c>
      <c r="C187" s="69">
        <f t="shared" si="64"/>
        <v>1825.5842580994015</v>
      </c>
      <c r="D187" s="69">
        <f t="shared" si="65"/>
        <v>9864.253338969078</v>
      </c>
      <c r="E187" s="69">
        <f t="shared" si="66"/>
        <v>13432.099725206546</v>
      </c>
      <c r="F187" s="70">
        <f t="shared" si="67"/>
        <v>13748.803351181075</v>
      </c>
      <c r="G187" s="1"/>
      <c r="H187" s="1"/>
      <c r="I187" s="1"/>
      <c r="J187" s="1"/>
      <c r="K187" s="1"/>
      <c r="N187" s="1"/>
      <c r="X187" s="84">
        <f>AVERAGE(CAPEX!$C187:$D187)</f>
        <v>5844.9187985342396</v>
      </c>
      <c r="Y187" s="70">
        <f>AVERAGE(CAPEX!$E187:$F187)</f>
        <v>13590.451538193811</v>
      </c>
    </row>
    <row r="188" spans="2:25" x14ac:dyDescent="0.3">
      <c r="B188" s="71">
        <f t="shared" si="69"/>
        <v>50</v>
      </c>
      <c r="C188" s="72">
        <f t="shared" si="64"/>
        <v>1579.4550972879026</v>
      </c>
      <c r="D188" s="72">
        <f t="shared" si="65"/>
        <v>8121.8618155932199</v>
      </c>
      <c r="E188" s="72">
        <f t="shared" si="66"/>
        <v>13087.366089392775</v>
      </c>
      <c r="F188" s="73">
        <f t="shared" si="67"/>
        <v>12608.511394569026</v>
      </c>
      <c r="G188" s="1"/>
      <c r="H188" s="1"/>
      <c r="I188" s="1"/>
      <c r="J188" s="1"/>
      <c r="K188" s="1"/>
      <c r="N188" s="1"/>
      <c r="X188" s="85">
        <f>AVERAGE(CAPEX!$C188:$D188)</f>
        <v>4850.6584564405612</v>
      </c>
      <c r="Y188" s="73">
        <f>AVERAGE(CAPEX!$E188:$F188)</f>
        <v>12847.938741980901</v>
      </c>
    </row>
    <row r="189" spans="2:25" x14ac:dyDescent="0.3">
      <c r="B189" s="68">
        <f t="shared" si="69"/>
        <v>60</v>
      </c>
      <c r="C189" s="69">
        <f t="shared" si="64"/>
        <v>1403.1970244143824</v>
      </c>
      <c r="D189" s="69">
        <f t="shared" si="65"/>
        <v>6929.2898940346104</v>
      </c>
      <c r="E189" s="69">
        <f t="shared" si="66"/>
        <v>12751.480011451018</v>
      </c>
      <c r="F189" s="70">
        <f t="shared" si="67"/>
        <v>11747.392832504765</v>
      </c>
      <c r="G189" s="1"/>
      <c r="H189" s="1"/>
      <c r="I189" s="1"/>
      <c r="J189" s="1"/>
      <c r="K189" s="1"/>
      <c r="N189" s="1"/>
      <c r="X189" s="84">
        <f>AVERAGE(CAPEX!$C189:$D189)</f>
        <v>4166.2434592244963</v>
      </c>
      <c r="Y189" s="70">
        <f>AVERAGE(CAPEX!$E189:$F189)</f>
        <v>12249.436421977891</v>
      </c>
    </row>
    <row r="190" spans="2:25" x14ac:dyDescent="0.3">
      <c r="B190" s="71">
        <f t="shared" si="69"/>
        <v>70</v>
      </c>
      <c r="C190" s="72">
        <f t="shared" si="64"/>
        <v>1269.6095736127088</v>
      </c>
      <c r="D190" s="72">
        <f t="shared" si="65"/>
        <v>6058.6808655207633</v>
      </c>
      <c r="E190" s="72">
        <f t="shared" si="66"/>
        <v>12424.214419601303</v>
      </c>
      <c r="F190" s="73">
        <f t="shared" si="67"/>
        <v>11065.375022423543</v>
      </c>
      <c r="G190" s="1"/>
      <c r="H190" s="1"/>
      <c r="I190" s="1"/>
      <c r="J190" s="1"/>
      <c r="K190" s="1"/>
      <c r="N190" s="1"/>
      <c r="X190" s="85">
        <f>AVERAGE(CAPEX!$C190:$D190)</f>
        <v>3664.1452195667362</v>
      </c>
      <c r="Y190" s="73">
        <f>AVERAGE(CAPEX!$E190:$F190)</f>
        <v>11744.794721012422</v>
      </c>
    </row>
    <row r="191" spans="2:25" x14ac:dyDescent="0.3">
      <c r="B191" s="68">
        <f t="shared" si="69"/>
        <v>80</v>
      </c>
      <c r="C191" s="69">
        <f t="shared" si="64"/>
        <v>1164.2156017647592</v>
      </c>
      <c r="D191" s="69">
        <f t="shared" si="65"/>
        <v>5393.4553938869331</v>
      </c>
      <c r="E191" s="69">
        <f t="shared" si="66"/>
        <v>12105.348069840553</v>
      </c>
      <c r="F191" s="70">
        <f t="shared" si="67"/>
        <v>10506.674115281297</v>
      </c>
      <c r="G191" s="1"/>
      <c r="H191" s="1"/>
      <c r="I191" s="1"/>
      <c r="J191" s="1"/>
      <c r="K191" s="1"/>
      <c r="N191" s="1"/>
      <c r="X191" s="84">
        <f>AVERAGE(CAPEX!$C191:$D191)</f>
        <v>3278.8354978258462</v>
      </c>
      <c r="Y191" s="70">
        <f>AVERAGE(CAPEX!$E191:$F191)</f>
        <v>11306.011092560926</v>
      </c>
    </row>
    <row r="192" spans="2:25" x14ac:dyDescent="0.3">
      <c r="B192" s="71">
        <f t="shared" si="69"/>
        <v>90</v>
      </c>
      <c r="C192" s="72">
        <f t="shared" si="64"/>
        <v>1078.5379423545437</v>
      </c>
      <c r="D192" s="72">
        <f t="shared" si="65"/>
        <v>4867.5816390364753</v>
      </c>
      <c r="E192" s="72">
        <f t="shared" si="66"/>
        <v>11794.665396373193</v>
      </c>
      <c r="F192" s="73">
        <f t="shared" si="67"/>
        <v>10037.327237597699</v>
      </c>
      <c r="G192" s="1"/>
      <c r="H192" s="1"/>
      <c r="I192" s="1"/>
      <c r="J192" s="1"/>
      <c r="K192" s="1"/>
      <c r="N192" s="1"/>
      <c r="X192" s="85">
        <f>AVERAGE(CAPEX!$C192:$D192)</f>
        <v>2973.0597906955095</v>
      </c>
      <c r="Y192" s="73">
        <f>AVERAGE(CAPEX!$E192:$F192)</f>
        <v>10915.996316985445</v>
      </c>
    </row>
    <row r="193" spans="2:25" x14ac:dyDescent="0.3">
      <c r="B193" s="68">
        <f t="shared" si="69"/>
        <v>100</v>
      </c>
      <c r="C193" s="69">
        <f t="shared" si="64"/>
        <v>1007.2535728719722</v>
      </c>
      <c r="D193" s="69">
        <f t="shared" si="65"/>
        <v>4440.771938070845</v>
      </c>
      <c r="E193" s="69">
        <f t="shared" si="66"/>
        <v>11491.956365880491</v>
      </c>
      <c r="F193" s="70">
        <f t="shared" si="67"/>
        <v>9635.2763886296816</v>
      </c>
      <c r="G193" s="1"/>
      <c r="H193" s="1"/>
      <c r="I193" s="1"/>
      <c r="J193" s="1"/>
      <c r="K193" s="1"/>
      <c r="N193" s="1"/>
      <c r="X193" s="84">
        <f>AVERAGE(CAPEX!$C193:$D193)</f>
        <v>2724.0127554714086</v>
      </c>
      <c r="Y193" s="70">
        <f>AVERAGE(CAPEX!$E193:$F193)</f>
        <v>10563.616377255086</v>
      </c>
    </row>
    <row r="194" spans="2:25" x14ac:dyDescent="0.3">
      <c r="B194" s="71">
        <f>B193+$B$193</f>
        <v>200</v>
      </c>
      <c r="C194" s="72">
        <f t="shared" si="64"/>
        <v>642.34796025886692</v>
      </c>
      <c r="D194" s="72">
        <f t="shared" si="65"/>
        <v>2428.0707864416127</v>
      </c>
      <c r="E194" s="72">
        <f t="shared" si="66"/>
        <v>8860.8911798975423</v>
      </c>
      <c r="F194" s="73">
        <f t="shared" si="67"/>
        <v>7363.1651017322974</v>
      </c>
      <c r="G194" s="1"/>
      <c r="H194" s="1"/>
      <c r="I194" s="1"/>
      <c r="J194" s="1"/>
      <c r="K194" s="1"/>
      <c r="N194" s="1"/>
      <c r="X194" s="85">
        <f>AVERAGE(CAPEX!$C194:$D194)</f>
        <v>1535.2093733502397</v>
      </c>
      <c r="Y194" s="73">
        <f>AVERAGE(CAPEX!$E194:$F194)</f>
        <v>8112.0281408149203</v>
      </c>
    </row>
    <row r="195" spans="2:25" x14ac:dyDescent="0.3">
      <c r="B195" s="68">
        <f t="shared" ref="B195:B202" si="70">B194+$B$193</f>
        <v>300</v>
      </c>
      <c r="C195" s="69">
        <f t="shared" si="64"/>
        <v>493.72727797963506</v>
      </c>
      <c r="D195" s="69">
        <f t="shared" si="65"/>
        <v>1705.6340489577183</v>
      </c>
      <c r="E195" s="69">
        <f t="shared" si="66"/>
        <v>6832.2041958928321</v>
      </c>
      <c r="F195" s="70">
        <f t="shared" si="67"/>
        <v>6291.3106494616286</v>
      </c>
      <c r="G195" s="1"/>
      <c r="H195" s="1"/>
      <c r="I195" s="1"/>
      <c r="J195" s="1"/>
      <c r="K195" s="1"/>
      <c r="N195" s="1"/>
      <c r="X195" s="84">
        <f>AVERAGE(CAPEX!$C195:$D195)</f>
        <v>1099.6806634686766</v>
      </c>
      <c r="Y195" s="70">
        <f>AVERAGE(CAPEX!$E195:$F195)</f>
        <v>6561.7574226772304</v>
      </c>
    </row>
    <row r="196" spans="2:25" x14ac:dyDescent="0.3">
      <c r="B196" s="71">
        <f t="shared" si="70"/>
        <v>400</v>
      </c>
      <c r="C196" s="72">
        <f t="shared" si="64"/>
        <v>409.63955170916199</v>
      </c>
      <c r="D196" s="72">
        <f t="shared" si="65"/>
        <v>1327.5907491282494</v>
      </c>
      <c r="E196" s="72">
        <f t="shared" si="66"/>
        <v>5267.9818797769485</v>
      </c>
      <c r="F196" s="73">
        <f t="shared" si="67"/>
        <v>5626.844330002551</v>
      </c>
      <c r="G196" s="1"/>
      <c r="H196" s="1"/>
      <c r="I196" s="1"/>
      <c r="J196" s="1"/>
      <c r="K196" s="1"/>
      <c r="N196" s="1"/>
      <c r="X196" s="85">
        <f>AVERAGE(CAPEX!$C196:$D196)</f>
        <v>868.61515041870575</v>
      </c>
      <c r="Y196" s="73">
        <f>AVERAGE(CAPEX!$E196:$F196)</f>
        <v>5447.4131048897498</v>
      </c>
    </row>
    <row r="197" spans="2:25" x14ac:dyDescent="0.3">
      <c r="B197" s="68">
        <f t="shared" si="70"/>
        <v>500</v>
      </c>
      <c r="C197" s="69">
        <f t="shared" si="64"/>
        <v>354.41107422308778</v>
      </c>
      <c r="D197" s="69">
        <f t="shared" si="65"/>
        <v>1093.0891818727778</v>
      </c>
      <c r="E197" s="69">
        <f t="shared" si="66"/>
        <v>4061.8857823864678</v>
      </c>
      <c r="F197" s="70">
        <f t="shared" si="67"/>
        <v>5160.1676915546786</v>
      </c>
      <c r="G197" s="1"/>
      <c r="H197" s="1"/>
      <c r="I197" s="1"/>
      <c r="J197" s="1"/>
      <c r="K197" s="1"/>
      <c r="N197" s="1"/>
      <c r="X197" s="84">
        <f>AVERAGE(CAPEX!$C197:$D197)</f>
        <v>723.75012804793278</v>
      </c>
      <c r="Y197" s="70">
        <f>AVERAGE(CAPEX!$E197:$F197)</f>
        <v>4611.0267369705734</v>
      </c>
    </row>
    <row r="198" spans="2:25" x14ac:dyDescent="0.3">
      <c r="B198" s="71">
        <f t="shared" si="70"/>
        <v>600</v>
      </c>
      <c r="C198" s="72">
        <f t="shared" si="64"/>
        <v>314.86084385891974</v>
      </c>
      <c r="D198" s="72">
        <f t="shared" si="65"/>
        <v>932.58565501417161</v>
      </c>
      <c r="E198" s="72">
        <f t="shared" si="66"/>
        <v>3131.9234738620462</v>
      </c>
      <c r="F198" s="73">
        <f t="shared" si="67"/>
        <v>4807.7457407385018</v>
      </c>
      <c r="G198" s="1"/>
      <c r="H198" s="1"/>
      <c r="I198" s="1"/>
      <c r="J198" s="1"/>
      <c r="K198" s="1"/>
      <c r="N198" s="1"/>
      <c r="X198" s="85">
        <f>AVERAGE(CAPEX!$C198:$D198)</f>
        <v>623.72324943654564</v>
      </c>
      <c r="Y198" s="73">
        <f>AVERAGE(CAPEX!$E198:$F198)</f>
        <v>3969.834607300274</v>
      </c>
    </row>
    <row r="199" spans="2:25" x14ac:dyDescent="0.3">
      <c r="B199" s="68">
        <f t="shared" si="70"/>
        <v>700</v>
      </c>
      <c r="C199" s="69">
        <f t="shared" si="64"/>
        <v>284.88539724911033</v>
      </c>
      <c r="D199" s="69">
        <f t="shared" si="65"/>
        <v>815.41383747817792</v>
      </c>
      <c r="E199" s="69">
        <f t="shared" si="66"/>
        <v>2414.8745611367449</v>
      </c>
      <c r="F199" s="70">
        <f t="shared" si="67"/>
        <v>4528.6226818370442</v>
      </c>
      <c r="G199" s="1"/>
      <c r="H199" s="1"/>
      <c r="I199" s="1"/>
      <c r="J199" s="1"/>
      <c r="K199" s="1"/>
      <c r="N199" s="1"/>
      <c r="X199" s="84">
        <f>AVERAGE(CAPEX!$C199:$D199)</f>
        <v>550.1496173636441</v>
      </c>
      <c r="Y199" s="70">
        <f>AVERAGE(CAPEX!$E199:$F199)</f>
        <v>3471.7486214868945</v>
      </c>
    </row>
    <row r="200" spans="2:25" x14ac:dyDescent="0.3">
      <c r="B200" s="71">
        <f t="shared" si="70"/>
        <v>800</v>
      </c>
      <c r="C200" s="72">
        <f t="shared" si="64"/>
        <v>261.23623441858183</v>
      </c>
      <c r="D200" s="72">
        <f t="shared" si="65"/>
        <v>725.88377860016328</v>
      </c>
      <c r="E200" s="72">
        <f t="shared" si="66"/>
        <v>1861.9928598811778</v>
      </c>
      <c r="F200" s="73">
        <f t="shared" si="67"/>
        <v>4299.9683799882514</v>
      </c>
      <c r="G200" s="1"/>
      <c r="H200" s="1"/>
      <c r="I200" s="1"/>
      <c r="J200" s="1"/>
      <c r="K200" s="1"/>
      <c r="N200" s="1"/>
      <c r="X200" s="85">
        <f>AVERAGE(CAPEX!$C200:$D200)</f>
        <v>493.56000650937256</v>
      </c>
      <c r="Y200" s="73">
        <f>AVERAGE(CAPEX!$E200:$F200)</f>
        <v>3080.9806199347145</v>
      </c>
    </row>
    <row r="201" spans="2:25" x14ac:dyDescent="0.3">
      <c r="B201" s="68">
        <f t="shared" si="70"/>
        <v>900</v>
      </c>
      <c r="C201" s="69">
        <f t="shared" si="64"/>
        <v>242.01117929632207</v>
      </c>
      <c r="D201" s="69">
        <f t="shared" si="65"/>
        <v>655.10851481098643</v>
      </c>
      <c r="E201" s="69">
        <f t="shared" si="66"/>
        <v>1435.6925473663</v>
      </c>
      <c r="F201" s="70">
        <f t="shared" si="67"/>
        <v>4107.8831671852413</v>
      </c>
      <c r="G201" s="1"/>
      <c r="H201" s="1"/>
      <c r="I201" s="1"/>
      <c r="J201" s="1"/>
      <c r="K201" s="1"/>
      <c r="N201" s="1"/>
      <c r="X201" s="84">
        <f>AVERAGE(CAPEX!$C201:$D201)</f>
        <v>448.55984705365427</v>
      </c>
      <c r="Y201" s="70">
        <f>AVERAGE(CAPEX!$E201:$F201)</f>
        <v>2771.7878572757709</v>
      </c>
    </row>
    <row r="202" spans="2:25" x14ac:dyDescent="0.3">
      <c r="B202" s="71">
        <f t="shared" si="70"/>
        <v>1000</v>
      </c>
      <c r="C202" s="72">
        <f t="shared" si="64"/>
        <v>226.01580848330272</v>
      </c>
      <c r="D202" s="72">
        <f t="shared" si="65"/>
        <v>597.66588928537556</v>
      </c>
      <c r="E202" s="72">
        <f t="shared" si="66"/>
        <v>1106.993015373147</v>
      </c>
      <c r="F202" s="73">
        <f t="shared" si="67"/>
        <v>3943.339571491581</v>
      </c>
      <c r="G202" s="1"/>
      <c r="H202" s="1"/>
      <c r="I202" s="1"/>
      <c r="J202" s="1"/>
      <c r="K202" s="1"/>
      <c r="N202" s="1"/>
      <c r="X202" s="85">
        <f>AVERAGE(CAPEX!$C202:$D202)</f>
        <v>411.84084888433915</v>
      </c>
      <c r="Y202" s="73">
        <f>AVERAGE(CAPEX!$E202:$F202)</f>
        <v>2525.166293432364</v>
      </c>
    </row>
    <row r="203" spans="2:25" x14ac:dyDescent="0.3">
      <c r="B203" s="28">
        <f>B202+$B$202</f>
        <v>2000</v>
      </c>
      <c r="C203" s="81">
        <f t="shared" si="64"/>
        <v>144.1352976803602</v>
      </c>
      <c r="D203" s="81">
        <f t="shared" si="65"/>
        <v>326.78442083132126</v>
      </c>
      <c r="E203" s="81">
        <f t="shared" si="66"/>
        <v>82.220332310038742</v>
      </c>
      <c r="F203" s="82">
        <f t="shared" si="67"/>
        <v>3013.4538072359519</v>
      </c>
      <c r="G203" s="1"/>
      <c r="H203" s="1"/>
      <c r="I203" s="1"/>
      <c r="J203" s="1"/>
      <c r="K203" s="1"/>
      <c r="N203" s="1"/>
      <c r="X203" s="86">
        <f>AVERAGE(CAPEX!$C203:$D203)</f>
        <v>235.45985925584074</v>
      </c>
      <c r="Y203" s="82">
        <f>AVERAGE(CAPEX!$E203:$F203)</f>
        <v>1547.8370697729954</v>
      </c>
    </row>
    <row r="204" spans="2:25" x14ac:dyDescent="0.3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2:25" x14ac:dyDescent="0.3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2:25" x14ac:dyDescent="0.3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2:25" x14ac:dyDescent="0.3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2:25" x14ac:dyDescent="0.3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3:14" x14ac:dyDescent="0.3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3:14" x14ac:dyDescent="0.3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3:14" x14ac:dyDescent="0.3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3:14" x14ac:dyDescent="0.3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3:14" x14ac:dyDescent="0.3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3:14" x14ac:dyDescent="0.3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3:14" x14ac:dyDescent="0.3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3:14" x14ac:dyDescent="0.3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3:14" x14ac:dyDescent="0.3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3:14" x14ac:dyDescent="0.3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3:14" x14ac:dyDescent="0.3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3:14" x14ac:dyDescent="0.3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3:14" x14ac:dyDescent="0.3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3:14" x14ac:dyDescent="0.3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3:14" x14ac:dyDescent="0.3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3:14" x14ac:dyDescent="0.3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3:14" x14ac:dyDescent="0.3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3:14" x14ac:dyDescent="0.3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3:14" x14ac:dyDescent="0.3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3:14" x14ac:dyDescent="0.3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3:14" x14ac:dyDescent="0.3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3:14" x14ac:dyDescent="0.3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</sheetData>
  <mergeCells count="18">
    <mergeCell ref="A1:AM1"/>
    <mergeCell ref="B109:AM109"/>
    <mergeCell ref="B111:K111"/>
    <mergeCell ref="B39:B63"/>
    <mergeCell ref="B3:L3"/>
    <mergeCell ref="B23:L23"/>
    <mergeCell ref="B67:P67"/>
    <mergeCell ref="B85:P85"/>
    <mergeCell ref="AB67:AK67"/>
    <mergeCell ref="AF85:AK85"/>
    <mergeCell ref="AB63:AQ65"/>
    <mergeCell ref="AK71:AK81"/>
    <mergeCell ref="AK89:AK99"/>
    <mergeCell ref="B166:K166"/>
    <mergeCell ref="B173:F173"/>
    <mergeCell ref="X128:AA128"/>
    <mergeCell ref="X173:Y173"/>
    <mergeCell ref="B128:P128"/>
  </mergeCells>
  <hyperlinks>
    <hyperlink ref="J113" r:id="rId1" xr:uid="{6CA5BC6C-C7CE-4346-A87A-193E0BA91C62}"/>
    <hyperlink ref="J118" r:id="rId2" xr:uid="{A07F5142-76C1-4EB3-9BCA-D267DC935661}"/>
    <hyperlink ref="K114" r:id="rId3" display="https://doi.org/10.1016/j.apenergy.2023.121663 " xr:uid="{40664590-27E2-46E7-86CF-D79F3BAFB49C}"/>
    <hyperlink ref="K115" r:id="rId4" display="https://doi.org/10.1016/j.apenergy.2023.121663 " xr:uid="{1470632F-922A-4580-B4CD-4C8B57672F2B}"/>
    <hyperlink ref="J114" r:id="rId5" xr:uid="{5CBAB8AD-BD54-4629-833B-623FFB033B44}"/>
    <hyperlink ref="J119" r:id="rId6" xr:uid="{2050EA63-679C-4E5D-8653-0618CDF005D3}"/>
    <hyperlink ref="L18" r:id="rId7" display="https://www.verenum.ch/Dokumente/2012_Mangold_Speicher.pdf " xr:uid="{28D8BC08-0CA4-402A-A139-B03940B16BA8}"/>
    <hyperlink ref="P72" r:id="rId8" xr:uid="{BE5C852C-06D5-4F71-8AE9-97C2B9FBE9A6}"/>
    <hyperlink ref="J120" r:id="rId9" xr:uid="{AE5577A3-A541-43E9-A9A0-A590AA850850}"/>
    <hyperlink ref="J121" r:id="rId10" xr:uid="{8B9F1116-D38C-49B5-9194-ABBCCBA0113E}"/>
    <hyperlink ref="N88" r:id="rId11" xr:uid="{1B550168-371D-450D-ACB0-FC9BAD09E6DE}"/>
    <hyperlink ref="P91" r:id="rId12" xr:uid="{77B3DA11-F7DC-4287-A5AD-AA27A10B45CE}"/>
    <hyperlink ref="P92" r:id="rId13" xr:uid="{39CF951D-3E3E-4941-B8DB-43F4EF2D3FDA}"/>
    <hyperlink ref="J18" r:id="rId14" xr:uid="{44B0DFD3-71A7-461C-89EE-70DF2DDF0ACA}"/>
    <hyperlink ref="J5" r:id="rId15" xr:uid="{60569B9A-2C23-4A5F-B8B9-869365BD0F32}"/>
    <hyperlink ref="J6" r:id="rId16" xr:uid="{F1EFFD7B-102E-4222-9B96-D1E927B37571}"/>
    <hyperlink ref="K6" r:id="rId17" xr:uid="{BEDE1112-261C-4E68-B30B-2450F971EAD8}"/>
    <hyperlink ref="J7" r:id="rId18" xr:uid="{203A0A62-9AC3-46A2-9897-4A6BECD3BD22}"/>
    <hyperlink ref="K7" r:id="rId19" xr:uid="{38526357-7EDF-40A9-BE82-48EFFF3AFE4B}"/>
    <hyperlink ref="L7" r:id="rId20" location="legend" xr:uid="{CA23AA57-669B-4942-94B6-DE949BD01CC5}"/>
    <hyperlink ref="J8" r:id="rId21" xr:uid="{2737BD82-0D0D-406F-8F68-4223A9783033}"/>
    <hyperlink ref="K8" r:id="rId22" xr:uid="{F81E3AEC-C4DB-4287-802B-707687978BD0}"/>
    <hyperlink ref="L8" r:id="rId23" xr:uid="{73421243-10F5-4EE7-B946-1E9C5DC30FE8}"/>
    <hyperlink ref="J9" r:id="rId24" xr:uid="{D1DC8E6D-B413-400C-9053-FDE1662446DF}"/>
    <hyperlink ref="J10" r:id="rId25" xr:uid="{450A5E53-E64D-4A17-948A-05227361C3CD}"/>
    <hyperlink ref="J11" r:id="rId26" xr:uid="{E5473A00-7EC5-4C1D-8BF0-D08D9154BE30}"/>
    <hyperlink ref="J12" r:id="rId27" xr:uid="{32B7352D-1385-49BC-8992-446B964700D1}"/>
    <hyperlink ref="K9" r:id="rId28" xr:uid="{D19C756F-FD3C-4543-B2BF-ED8D980BB9DF}"/>
    <hyperlink ref="K11" r:id="rId29" xr:uid="{31335E71-F828-41C0-9C02-9E7C317DB663}"/>
    <hyperlink ref="K12" r:id="rId30" xr:uid="{6D715DE7-17C0-47CA-B285-3F94024625B2}"/>
    <hyperlink ref="L11" r:id="rId31" location="legend" xr:uid="{DD6AE3B1-562E-496B-873B-E94A6E63F1FA}"/>
    <hyperlink ref="J13" r:id="rId32" xr:uid="{8EF6003F-9BD5-4CB9-BA57-4AA48C0DA3CE}"/>
    <hyperlink ref="J14" r:id="rId33" xr:uid="{4AE1FA1F-98C8-4F4F-AC65-719D0B55190A}"/>
    <hyperlink ref="J15" r:id="rId34" xr:uid="{10772553-036C-4C79-9589-75B2449B2505}"/>
    <hyperlink ref="J16" r:id="rId35" xr:uid="{214F828D-3CE5-4DDA-8C02-D880DD64B21E}"/>
    <hyperlink ref="J17" r:id="rId36" xr:uid="{49AAFCCA-BADD-47A3-9D8C-49A5B3C7669A}"/>
    <hyperlink ref="K13" r:id="rId37" xr:uid="{9A2DA49A-8E7E-4685-A4B5-67ADB09CD4FE}"/>
    <hyperlink ref="K14" r:id="rId38" location="legend" xr:uid="{704CA992-CD3A-4116-96D4-01F2D11485A6}"/>
    <hyperlink ref="K15" r:id="rId39" location="legend" xr:uid="{C773727E-F5AA-4F93-8C1A-7E1BBDD1A337}"/>
    <hyperlink ref="K16" r:id="rId40" location="legend" xr:uid="{BF7395A9-B9A0-4ABA-93DB-62709C9352B0}"/>
    <hyperlink ref="J19" r:id="rId41" xr:uid="{A67DBC88-C7B5-4983-9C0A-5CC1C43F48A1}"/>
    <hyperlink ref="K19" r:id="rId42" xr:uid="{1F8E035A-E525-4AB0-8760-85A0EB09285B}"/>
    <hyperlink ref="J31" r:id="rId43" xr:uid="{EC2B5F13-76BA-44E5-A964-AFF6D7BB4D7C}"/>
    <hyperlink ref="J32" r:id="rId44" xr:uid="{CE081B4A-7451-478C-9FD8-B60574D25653}"/>
    <hyperlink ref="J33" r:id="rId45" xr:uid="{EEA7CF9A-2B4A-4AD7-8D10-B67CDCEEE2DC}"/>
    <hyperlink ref="J34" r:id="rId46" xr:uid="{15D2C406-6E9C-4EE6-8C21-7C96E9D43A8C}"/>
    <hyperlink ref="J35" r:id="rId47" xr:uid="{C38B5F8A-3E1D-433F-B3E8-42BFB3196037}"/>
    <hyperlink ref="J36" r:id="rId48" xr:uid="{A20F557C-2C17-4DE3-BBE7-745C774F0D37}"/>
    <hyperlink ref="J37" r:id="rId49" xr:uid="{910AD4A7-221D-4963-AF1B-C29CBAE9442A}"/>
    <hyperlink ref="J29" r:id="rId50" xr:uid="{4088BCCF-61C7-4841-93B0-BD2B577CDA04}"/>
    <hyperlink ref="J25" r:id="rId51" xr:uid="{B0ACA60A-C44D-4967-AE6E-E88D81636333}"/>
    <hyperlink ref="J26" r:id="rId52" xr:uid="{565A0CEC-B126-4CB0-BA46-79EB083CA1A4}"/>
    <hyperlink ref="J27" r:id="rId53" xr:uid="{82589C90-1018-4D8B-83A6-64E45CEA4625}"/>
    <hyperlink ref="J30" r:id="rId54" xr:uid="{13D97A79-0925-4030-89C9-3865E9B2769F}"/>
    <hyperlink ref="J28" r:id="rId55" xr:uid="{DA4A3A1B-3D93-40AB-BAD8-E7445ECC6CAC}"/>
    <hyperlink ref="K31" r:id="rId56" xr:uid="{EC18B6E3-37CC-4FBF-B13C-433DD9764A2A}"/>
    <hyperlink ref="L31" r:id="rId57" location="legend" xr:uid="{0A1A7D70-7084-4621-9348-12BE08C198C6}"/>
    <hyperlink ref="K33" r:id="rId58" xr:uid="{6CED6E01-143E-486C-8595-0677DA6B24C1}"/>
    <hyperlink ref="L33" r:id="rId59" location="legend" xr:uid="{B3D6699C-9919-409C-9A1E-FBC269025F44}"/>
    <hyperlink ref="K32" r:id="rId60" xr:uid="{15ACD8DD-4287-436F-BD8A-4F89CE37D43E}"/>
    <hyperlink ref="K34" r:id="rId61" xr:uid="{31159F7D-3ED4-46F4-BB39-66B3A23DFA6D}"/>
    <hyperlink ref="L34" r:id="rId62" xr:uid="{1354FCCA-D81A-4177-958D-0DB1D3D3D7A5}"/>
    <hyperlink ref="N69" r:id="rId63" xr:uid="{4EC819DE-AED5-479A-9E3F-363C1DC3850D}"/>
    <hyperlink ref="N70" r:id="rId64" xr:uid="{437E86F9-A76B-4A4C-866E-49290F2C86DA}"/>
    <hyperlink ref="N71" r:id="rId65" xr:uid="{723B2E09-E7E9-4129-AF18-465FCD69559D}"/>
    <hyperlink ref="O71" r:id="rId66" location="legend" xr:uid="{A65E6BDD-B62F-443E-BCDB-826137082CA7}"/>
    <hyperlink ref="N72" r:id="rId67" xr:uid="{EA95A8FB-1B68-477B-8459-11F67CE54E86}"/>
    <hyperlink ref="O72" r:id="rId68" xr:uid="{0DAD781E-622D-4ECD-8775-F6A9D5BDF975}"/>
    <hyperlink ref="N73" r:id="rId69" xr:uid="{61EDE41D-3A14-43D8-8EA3-F8214DB2DC67}"/>
    <hyperlink ref="N75" r:id="rId70" xr:uid="{21DE95D5-81A4-4B73-9FB8-8295C18006BA}"/>
    <hyperlink ref="N76" r:id="rId71" xr:uid="{C956FBFC-3B2E-430B-819E-A25BABDBD01D}"/>
    <hyperlink ref="N77" r:id="rId72" xr:uid="{48EB4364-93DF-476D-A283-B2B8955068A8}"/>
    <hyperlink ref="N92" r:id="rId73" xr:uid="{28CB0540-D42B-4235-BA5B-7349DC2A24AF}"/>
    <hyperlink ref="N91" r:id="rId74" xr:uid="{0CE47D5A-41DD-4811-9EE4-D0DB72904F00}"/>
    <hyperlink ref="J116" r:id="rId75" xr:uid="{3D6BDFA2-CF1F-46F7-A129-7EC0CC5D4946}"/>
    <hyperlink ref="O77" r:id="rId76" xr:uid="{5A1F3CA7-ED9C-4446-B712-8D58BA41B39B}"/>
    <hyperlink ref="O91" r:id="rId77" xr:uid="{8FE414B6-E540-459F-AC61-507A428A1477}"/>
    <hyperlink ref="O92" r:id="rId78" xr:uid="{DE48F267-76C4-4FC0-9F92-4C80ED044AFF}"/>
    <hyperlink ref="J115" r:id="rId79" xr:uid="{4AD51BD8-7BF8-4DBE-BE63-D94B959ACAF6}"/>
    <hyperlink ref="AK87" r:id="rId80" xr:uid="{D57B2191-A131-4BA9-A897-31D39615543D}"/>
    <hyperlink ref="N74" r:id="rId81" xr:uid="{9E414234-836E-4178-9ED8-530400ADDB8E}"/>
    <hyperlink ref="J62" r:id="rId82" xr:uid="{29263256-452A-4CD0-95F1-B2DA9EF9CA1A}"/>
    <hyperlink ref="J61" r:id="rId83" xr:uid="{6D9C088B-DEC4-43B5-9772-D39EE195128D}"/>
    <hyperlink ref="J60" r:id="rId84" xr:uid="{E3FBE47C-F399-4AD6-8470-14A4D5DA4E52}"/>
    <hyperlink ref="J59" r:id="rId85" xr:uid="{8CAE137B-2140-4746-897E-3049AB4CD13B}"/>
    <hyperlink ref="J58" r:id="rId86" xr:uid="{4A1D3B36-99A0-44D5-87F8-D62E86530FE5}"/>
    <hyperlink ref="J57" r:id="rId87" xr:uid="{207A6606-E03A-4904-920C-B945E1B0B521}"/>
    <hyperlink ref="J56" r:id="rId88" xr:uid="{70C93897-F7C5-4265-96B5-355860A32100}"/>
    <hyperlink ref="J63" r:id="rId89" xr:uid="{8A5B816C-5DA5-4FB3-A439-1B0B4CECD1C6}"/>
    <hyperlink ref="N78" r:id="rId90" xr:uid="{450B6833-A38F-4644-AEFC-38F3E07125C4}"/>
    <hyperlink ref="N79" r:id="rId91" xr:uid="{A4BF3B2B-DAA0-41F5-A64C-033EE4778DD3}"/>
    <hyperlink ref="N80" r:id="rId92" xr:uid="{3AB3D35A-64B0-41CA-BC5A-2EAFAB5FA439}"/>
    <hyperlink ref="N81" r:id="rId93" xr:uid="{DB6CAFA7-3FF8-497C-9EBE-A9660EE93E4F}"/>
    <hyperlink ref="J38" r:id="rId94" xr:uid="{DCE7E3F4-667F-490C-9ACA-3B2017AB439B}"/>
    <hyperlink ref="J39" r:id="rId95" xr:uid="{0F5E06ED-4CA1-42EA-996F-10FF4FD714CD}"/>
    <hyperlink ref="J40" r:id="rId96" xr:uid="{BEF09D37-0FE1-4393-87A0-675DF62440A2}"/>
    <hyperlink ref="J41" r:id="rId97" xr:uid="{7980062C-85CD-4941-A7A7-17D69ECB6B6F}"/>
    <hyperlink ref="J42" r:id="rId98" xr:uid="{F712075E-3D28-4EE5-AE3E-2525C6955DBC}"/>
    <hyperlink ref="J43" r:id="rId99" xr:uid="{B751001F-2F1E-4707-9B27-D8769AACDEE4}"/>
    <hyperlink ref="J44" r:id="rId100" xr:uid="{3CAF316A-D539-41F2-A4C8-E045F52658D1}"/>
    <hyperlink ref="J45" r:id="rId101" xr:uid="{7A784193-3226-4A3F-B3D9-698A175DCAC7}"/>
    <hyperlink ref="J46" r:id="rId102" xr:uid="{082D2752-8B3E-461D-84BF-4D9089E9F73D}"/>
    <hyperlink ref="J47" r:id="rId103" xr:uid="{4F740770-D36D-4FC1-B921-BF3B0A383F05}"/>
    <hyperlink ref="J48" r:id="rId104" xr:uid="{48F165EE-4813-47F2-B866-AAD7123CE4E1}"/>
    <hyperlink ref="J49" r:id="rId105" xr:uid="{09513332-747B-464C-982E-66BD512761E7}"/>
    <hyperlink ref="J50" r:id="rId106" xr:uid="{D87C0C01-623A-4AD9-BDF5-1897AE02B8A3}"/>
    <hyperlink ref="J51" r:id="rId107" xr:uid="{D8329497-AC14-4FD8-9BA8-7B4D8CAE3F13}"/>
    <hyperlink ref="J52" r:id="rId108" xr:uid="{54D803B8-415C-4F95-8D18-5757344819C0}"/>
    <hyperlink ref="J53" r:id="rId109" xr:uid="{A2BEF96F-3651-4F0A-B209-0A2CD8E1666D}"/>
    <hyperlink ref="J54" r:id="rId110" xr:uid="{CB52AC5C-D93B-431F-8CD3-CEFC82E32684}"/>
    <hyperlink ref="J55" r:id="rId111" xr:uid="{60FAF13A-29A0-4F6F-AC67-8671FB65FB91}"/>
    <hyperlink ref="O93" r:id="rId112" xr:uid="{F7F6A07F-697B-417E-9F23-27C556EBBD31}"/>
    <hyperlink ref="O96" r:id="rId113" xr:uid="{C2C4BFB4-591E-4532-92CA-8BF936997C48}"/>
    <hyperlink ref="O97" r:id="rId114" xr:uid="{50D4CF30-7A68-45C9-80D4-D8CC4278D680}"/>
    <hyperlink ref="N93" r:id="rId115" display="https://www.euroheat.org/dhc/knowledge-hub/large-storage-systems-for-dhc-networks" xr:uid="{22F27345-018B-4104-8A0E-23F0AC13F61A}"/>
    <hyperlink ref="N96" r:id="rId116" display="https://www.euroheat.org/dhc/knowledge-hub/large-storage-systems-for-dhc-networks" xr:uid="{F637D763-0B9E-4914-B070-A0EBCAD5462B}"/>
    <hyperlink ref="N97" r:id="rId117" display="https://doi.org/10.1115/1.4069122" xr:uid="{74028556-20E0-4CA1-B3ED-57FDC163DECE}"/>
    <hyperlink ref="N102" r:id="rId118" display="https://ens.dk/en/analyses-and-statistics/technology-data-energy-storage" xr:uid="{3A7E3531-3946-4F6B-AC56-3393F4E14321}"/>
    <hyperlink ref="N105" r:id="rId119" xr:uid="{AEC8AAF2-8785-4D68-BD47-572314799734}"/>
    <hyperlink ref="N104" r:id="rId120" display="https://www.euroheat.org/dhc/knowledge-hub/large-storage-systems-for-dhc-networks" xr:uid="{E9501AA8-9D84-4E79-8680-9BDBC7B69F27}"/>
    <hyperlink ref="N103" r:id="rId121" display="https://www.euroheat.org/dhc/knowledge-hub/large-storage-systems-for-dhc-networks" xr:uid="{46781F3F-D29F-4FF3-ADFC-484946662823}"/>
    <hyperlink ref="N98" r:id="rId122" xr:uid="{4F1E123B-F3BB-4264-BAF9-4BE195A30595}"/>
    <hyperlink ref="N94" r:id="rId123" xr:uid="{BF27AEC7-CE23-4081-82A7-506B857B4114}"/>
    <hyperlink ref="N95" r:id="rId124" xr:uid="{FB3571AD-26B4-489E-A778-DFA9823DD7D8}"/>
    <hyperlink ref="O89" r:id="rId125" xr:uid="{CBAE1A0C-43B6-42EA-AB37-451112F1DE4A}"/>
    <hyperlink ref="O90" r:id="rId126" xr:uid="{980B5484-D626-4C4E-99F6-8F2231B5B8AE}"/>
    <hyperlink ref="N89" r:id="rId127" xr:uid="{9A15BA13-2452-4044-9E61-31DA29E33587}"/>
    <hyperlink ref="N90" r:id="rId128" xr:uid="{F3D73E9D-51A9-4EB9-9FED-A58CB8A2A9C8}"/>
    <hyperlink ref="N87" r:id="rId129" xr:uid="{A4595636-87F3-4470-9ABC-43DA5BE6D166}"/>
    <hyperlink ref="O87" r:id="rId130" xr:uid="{84327403-2CAD-40D9-A0B8-87E39D08C8CD}"/>
    <hyperlink ref="J122" r:id="rId131" xr:uid="{BD141940-2A25-4378-93C7-9B677539C0D0}"/>
  </hyperlinks>
  <pageMargins left="0.7" right="0.7" top="0.78740157499999996" bottom="0.78740157499999996" header="0.3" footer="0.3"/>
  <pageSetup paperSize="9" orientation="portrait" r:id="rId132"/>
  <drawing r:id="rId133"/>
  <legacyDrawing r:id="rId134"/>
  <tableParts count="2">
    <tablePart r:id="rId135"/>
    <tablePart r:id="rId13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8C6D7-A8E8-407A-B328-F7D035EE5A2A}">
  <sheetPr codeName="Tabelle2"/>
  <dimension ref="A1:P27"/>
  <sheetViews>
    <sheetView zoomScale="74" zoomScaleNormal="100" workbookViewId="0">
      <selection activeCell="M30" sqref="M30"/>
    </sheetView>
  </sheetViews>
  <sheetFormatPr baseColWidth="10" defaultRowHeight="14.4" x14ac:dyDescent="0.3"/>
  <cols>
    <col min="1" max="1" width="17" customWidth="1"/>
    <col min="2" max="2" width="13.33203125" customWidth="1"/>
    <col min="3" max="3" width="24.109375" customWidth="1"/>
    <col min="4" max="4" width="11.88671875" customWidth="1"/>
    <col min="5" max="5" width="12.5546875" customWidth="1"/>
    <col min="8" max="8" width="12.6640625" customWidth="1"/>
    <col min="10" max="10" width="12.77734375" customWidth="1"/>
    <col min="11" max="11" width="11.6640625" customWidth="1"/>
    <col min="13" max="13" width="12.5546875" bestFit="1" customWidth="1"/>
  </cols>
  <sheetData>
    <row r="1" spans="1:16" x14ac:dyDescent="0.3">
      <c r="A1" t="s">
        <v>31</v>
      </c>
      <c r="B1" t="s">
        <v>33</v>
      </c>
      <c r="C1" t="s">
        <v>55</v>
      </c>
      <c r="D1" t="s">
        <v>34</v>
      </c>
    </row>
    <row r="2" spans="1:16" x14ac:dyDescent="0.3">
      <c r="A2" t="s">
        <v>42</v>
      </c>
      <c r="B2" t="s">
        <v>27</v>
      </c>
      <c r="C2" s="4" t="s">
        <v>241</v>
      </c>
      <c r="D2" s="2" t="s">
        <v>40</v>
      </c>
    </row>
    <row r="3" spans="1:16" x14ac:dyDescent="0.3">
      <c r="A3" t="s">
        <v>32</v>
      </c>
      <c r="B3" t="s">
        <v>27</v>
      </c>
      <c r="C3" t="s">
        <v>242</v>
      </c>
      <c r="D3" s="2" t="s">
        <v>234</v>
      </c>
    </row>
    <row r="4" spans="1:16" x14ac:dyDescent="0.3">
      <c r="A4" t="s">
        <v>42</v>
      </c>
      <c r="B4" t="s">
        <v>28</v>
      </c>
      <c r="C4" s="4">
        <v>5.0000000000000001E-3</v>
      </c>
      <c r="D4" s="2" t="s">
        <v>40</v>
      </c>
    </row>
    <row r="5" spans="1:16" x14ac:dyDescent="0.3">
      <c r="A5" t="s">
        <v>32</v>
      </c>
      <c r="B5" t="s">
        <v>28</v>
      </c>
      <c r="C5" s="4">
        <v>0.05</v>
      </c>
      <c r="D5" s="2" t="s">
        <v>234</v>
      </c>
    </row>
    <row r="6" spans="1:16" x14ac:dyDescent="0.3">
      <c r="A6" t="s">
        <v>41</v>
      </c>
      <c r="B6" t="s">
        <v>29</v>
      </c>
      <c r="C6" s="4">
        <v>2.3999999999999998E-3</v>
      </c>
      <c r="D6" s="2" t="s">
        <v>155</v>
      </c>
    </row>
    <row r="7" spans="1:16" x14ac:dyDescent="0.3">
      <c r="A7" t="s">
        <v>41</v>
      </c>
      <c r="B7" t="s">
        <v>30</v>
      </c>
      <c r="C7" s="4">
        <v>2.8670000000000002E-3</v>
      </c>
      <c r="D7" s="2" t="s">
        <v>155</v>
      </c>
    </row>
    <row r="8" spans="1:16" x14ac:dyDescent="0.3">
      <c r="A8" t="s">
        <v>42</v>
      </c>
      <c r="B8" t="s">
        <v>29</v>
      </c>
      <c r="C8" s="4">
        <v>7.1000000000000004E-3</v>
      </c>
      <c r="D8" s="2" t="s">
        <v>40</v>
      </c>
    </row>
    <row r="9" spans="1:16" x14ac:dyDescent="0.3">
      <c r="A9" t="s">
        <v>32</v>
      </c>
      <c r="B9" t="s">
        <v>29</v>
      </c>
      <c r="C9" s="4">
        <v>0.02</v>
      </c>
      <c r="D9" s="2" t="s">
        <v>234</v>
      </c>
    </row>
    <row r="10" spans="1:16" x14ac:dyDescent="0.3">
      <c r="A10" t="s">
        <v>32</v>
      </c>
      <c r="B10" t="s">
        <v>30</v>
      </c>
      <c r="C10" s="4">
        <v>2.75E-2</v>
      </c>
      <c r="D10" s="2" t="s">
        <v>234</v>
      </c>
    </row>
    <row r="11" spans="1:16" x14ac:dyDescent="0.3">
      <c r="A11" t="s">
        <v>42</v>
      </c>
      <c r="B11" t="s">
        <v>30</v>
      </c>
      <c r="C11" s="4">
        <v>5.0000000000000001E-3</v>
      </c>
      <c r="D11" s="2" t="s">
        <v>40</v>
      </c>
    </row>
    <row r="14" spans="1:16" ht="15" thickBot="1" x14ac:dyDescent="0.35">
      <c r="A14" s="52" t="s">
        <v>235</v>
      </c>
      <c r="B14" s="53" t="s">
        <v>45</v>
      </c>
      <c r="C14" s="53" t="s">
        <v>236</v>
      </c>
      <c r="D14" s="53" t="s">
        <v>54</v>
      </c>
      <c r="E14" s="43" t="s">
        <v>237</v>
      </c>
      <c r="F14" s="43" t="s">
        <v>183</v>
      </c>
      <c r="G14" s="43" t="s">
        <v>46</v>
      </c>
      <c r="H14" s="44" t="s">
        <v>238</v>
      </c>
      <c r="I14" s="44" t="s">
        <v>186</v>
      </c>
      <c r="J14" s="45" t="s">
        <v>239</v>
      </c>
      <c r="K14" s="45" t="s">
        <v>240</v>
      </c>
      <c r="M14" s="42" t="s">
        <v>200</v>
      </c>
      <c r="N14" s="43" t="s">
        <v>201</v>
      </c>
      <c r="O14" s="44" t="s">
        <v>202</v>
      </c>
      <c r="P14" s="45" t="s">
        <v>203</v>
      </c>
    </row>
    <row r="15" spans="1:16" ht="15" thickTop="1" x14ac:dyDescent="0.3">
      <c r="A15" s="54">
        <v>10</v>
      </c>
      <c r="B15" s="55">
        <v>2.4134790528233152E-3</v>
      </c>
      <c r="C15" s="47">
        <v>7.148260869565215E-3</v>
      </c>
      <c r="D15" s="55">
        <v>0.02</v>
      </c>
      <c r="E15" s="47">
        <v>5.0002334630350198E-3</v>
      </c>
      <c r="F15" s="56">
        <v>2.75E-2</v>
      </c>
      <c r="G15" s="62">
        <v>2.8670000000000002E-3</v>
      </c>
      <c r="H15" s="55">
        <v>0.05</v>
      </c>
      <c r="I15" s="55">
        <v>0.05</v>
      </c>
      <c r="J15" s="47">
        <v>3.9990000000000005E-2</v>
      </c>
      <c r="K15" s="55">
        <v>2.5000000000000001E-2</v>
      </c>
      <c r="M15" s="46">
        <f>AVERAGE(OPEX!$B15:$D15)</f>
        <v>9.853913307462844E-3</v>
      </c>
      <c r="N15" s="47">
        <f>AVERAGE(OPEX!$E15:$G15)</f>
        <v>1.1789077821011672E-2</v>
      </c>
      <c r="O15" s="47">
        <f>AVERAGE(OPEX!$H15:$I15)</f>
        <v>0.05</v>
      </c>
      <c r="P15" s="47">
        <f>AVERAGE(OPEX!$J15:$K15)</f>
        <v>3.2495000000000003E-2</v>
      </c>
    </row>
    <row r="16" spans="1:16" x14ac:dyDescent="0.3">
      <c r="A16" s="57">
        <v>20</v>
      </c>
      <c r="B16" s="58">
        <v>2.4134790528233152E-3</v>
      </c>
      <c r="C16" s="49">
        <v>7.148260869565215E-3</v>
      </c>
      <c r="D16" s="58">
        <v>0.02</v>
      </c>
      <c r="E16" s="49">
        <v>5.0002334630350198E-3</v>
      </c>
      <c r="F16" s="59">
        <v>2.75E-2</v>
      </c>
      <c r="G16" s="59">
        <v>2.8670000000000002E-3</v>
      </c>
      <c r="H16" s="58">
        <v>0.05</v>
      </c>
      <c r="I16" s="58">
        <v>0.05</v>
      </c>
      <c r="J16" s="49">
        <v>3.9990000000000005E-2</v>
      </c>
      <c r="K16" s="58">
        <v>2.5000000000000001E-2</v>
      </c>
      <c r="M16" s="48">
        <f>AVERAGE(OPEX!$B16:$D16)</f>
        <v>9.853913307462844E-3</v>
      </c>
      <c r="N16" s="49">
        <f>AVERAGE(OPEX!$E16:$G16)</f>
        <v>1.1789077821011672E-2</v>
      </c>
      <c r="O16" s="49">
        <f>AVERAGE(OPEX!$H16:$I16)</f>
        <v>0.05</v>
      </c>
      <c r="P16" s="49">
        <f>AVERAGE(OPEX!$J16:$K16)</f>
        <v>3.2495000000000003E-2</v>
      </c>
    </row>
    <row r="17" spans="1:16" x14ac:dyDescent="0.3">
      <c r="A17" s="60">
        <v>30</v>
      </c>
      <c r="B17" s="61">
        <v>2.4134790528233152E-3</v>
      </c>
      <c r="C17" s="51">
        <v>7.148260869565215E-3</v>
      </c>
      <c r="D17" s="61">
        <v>0.02</v>
      </c>
      <c r="E17" s="51">
        <v>5.0002334630350198E-3</v>
      </c>
      <c r="F17" s="62">
        <v>2.75E-2</v>
      </c>
      <c r="G17" s="62">
        <v>2.8670000000000002E-3</v>
      </c>
      <c r="H17" s="61">
        <v>0.05</v>
      </c>
      <c r="I17" s="61">
        <v>0.05</v>
      </c>
      <c r="J17" s="51">
        <v>7.2911999999999991E-2</v>
      </c>
      <c r="K17" s="61">
        <v>2.5000000000000001E-2</v>
      </c>
      <c r="M17" s="50">
        <f>AVERAGE(OPEX!$B17:$D17)</f>
        <v>9.853913307462844E-3</v>
      </c>
      <c r="N17" s="51">
        <f>AVERAGE(OPEX!$E17:$G17)</f>
        <v>1.1789077821011672E-2</v>
      </c>
      <c r="O17" s="51">
        <f>AVERAGE(OPEX!$H17:$I17)</f>
        <v>0.05</v>
      </c>
      <c r="P17" s="51">
        <f>AVERAGE(OPEX!$J17:$K17)</f>
        <v>4.8956E-2</v>
      </c>
    </row>
    <row r="18" spans="1:16" x14ac:dyDescent="0.3">
      <c r="A18" s="57">
        <v>40</v>
      </c>
      <c r="B18" s="58">
        <v>2.4134790528233152E-3</v>
      </c>
      <c r="C18" s="49">
        <v>7.148260869565215E-3</v>
      </c>
      <c r="D18" s="58">
        <v>0.02</v>
      </c>
      <c r="E18" s="49">
        <v>5.0002334630350198E-3</v>
      </c>
      <c r="F18" s="59">
        <v>2.75E-2</v>
      </c>
      <c r="G18" s="59">
        <v>2.8670000000000002E-3</v>
      </c>
      <c r="H18" s="58">
        <v>0.05</v>
      </c>
      <c r="I18" s="58">
        <v>0.05</v>
      </c>
      <c r="J18" s="49">
        <v>7.2911999999999991E-2</v>
      </c>
      <c r="K18" s="58">
        <v>2.5000000000000001E-2</v>
      </c>
      <c r="M18" s="48">
        <f>AVERAGE(OPEX!$B18:$D18)</f>
        <v>9.853913307462844E-3</v>
      </c>
      <c r="N18" s="49">
        <f>AVERAGE(OPEX!$E18:$G18)</f>
        <v>1.1789077821011672E-2</v>
      </c>
      <c r="O18" s="49">
        <f>AVERAGE(OPEX!$H18:$I18)</f>
        <v>0.05</v>
      </c>
      <c r="P18" s="49">
        <f>AVERAGE(OPEX!$J18:$K18)</f>
        <v>4.8956E-2</v>
      </c>
    </row>
    <row r="19" spans="1:16" x14ac:dyDescent="0.3">
      <c r="A19" s="60">
        <v>50</v>
      </c>
      <c r="B19" s="61">
        <v>2.4134790528233152E-3</v>
      </c>
      <c r="C19" s="51">
        <v>7.148260869565215E-3</v>
      </c>
      <c r="D19" s="61">
        <v>0.02</v>
      </c>
      <c r="E19" s="51">
        <v>5.0002334630350198E-3</v>
      </c>
      <c r="F19" s="62">
        <v>2.75E-2</v>
      </c>
      <c r="G19" s="62">
        <v>2.8670000000000002E-3</v>
      </c>
      <c r="H19" s="61">
        <v>0.05</v>
      </c>
      <c r="I19" s="61">
        <v>0.05</v>
      </c>
      <c r="J19" s="51">
        <v>7.2911999999999991E-2</v>
      </c>
      <c r="K19" s="61">
        <v>2.5000000000000001E-2</v>
      </c>
      <c r="M19" s="50">
        <f>AVERAGE(OPEX!$B19:$D19)</f>
        <v>9.853913307462844E-3</v>
      </c>
      <c r="N19" s="51">
        <f>AVERAGE(OPEX!$E19:$G19)</f>
        <v>1.1789077821011672E-2</v>
      </c>
      <c r="O19" s="51">
        <f>AVERAGE(OPEX!$H19:$I19)</f>
        <v>0.05</v>
      </c>
      <c r="P19" s="51">
        <f>AVERAGE(OPEX!$J19:$K19)</f>
        <v>4.8956E-2</v>
      </c>
    </row>
    <row r="20" spans="1:16" x14ac:dyDescent="0.3">
      <c r="A20" s="57">
        <v>60</v>
      </c>
      <c r="B20" s="58">
        <v>2.4134790528233152E-3</v>
      </c>
      <c r="C20" s="49">
        <v>7.148260869565215E-3</v>
      </c>
      <c r="D20" s="58">
        <v>0.02</v>
      </c>
      <c r="E20" s="49">
        <v>5.0002334630350198E-3</v>
      </c>
      <c r="F20" s="59">
        <v>2.75E-2</v>
      </c>
      <c r="G20" s="59">
        <v>2.8670000000000002E-3</v>
      </c>
      <c r="H20" s="58">
        <v>0.05</v>
      </c>
      <c r="I20" s="58">
        <v>0.05</v>
      </c>
      <c r="J20" s="49">
        <v>7.2911999999999991E-2</v>
      </c>
      <c r="K20" s="58">
        <v>2.5000000000000001E-2</v>
      </c>
      <c r="M20" s="48">
        <f>AVERAGE(OPEX!$B20:$D20)</f>
        <v>9.853913307462844E-3</v>
      </c>
      <c r="N20" s="49">
        <f>AVERAGE(OPEX!$E20:$G20)</f>
        <v>1.1789077821011672E-2</v>
      </c>
      <c r="O20" s="49">
        <f>AVERAGE(OPEX!$H20:$I20)</f>
        <v>0.05</v>
      </c>
      <c r="P20" s="49">
        <f>AVERAGE(OPEX!$J20:$K20)</f>
        <v>4.8956E-2</v>
      </c>
    </row>
    <row r="21" spans="1:16" x14ac:dyDescent="0.3">
      <c r="A21" s="60">
        <v>70</v>
      </c>
      <c r="B21" s="61">
        <v>2.4134790528233152E-3</v>
      </c>
      <c r="C21" s="51">
        <v>7.148260869565215E-3</v>
      </c>
      <c r="D21" s="61">
        <v>0.02</v>
      </c>
      <c r="E21" s="51">
        <v>5.0002334630350198E-3</v>
      </c>
      <c r="F21" s="62">
        <v>2.75E-2</v>
      </c>
      <c r="G21" s="62">
        <v>2.8670000000000002E-3</v>
      </c>
      <c r="H21" s="61">
        <v>0.05</v>
      </c>
      <c r="I21" s="61">
        <v>0.05</v>
      </c>
      <c r="J21" s="51">
        <v>7.2911999999999991E-2</v>
      </c>
      <c r="K21" s="61">
        <v>0.02</v>
      </c>
      <c r="M21" s="50">
        <f>AVERAGE(OPEX!$B21:$D21)</f>
        <v>9.853913307462844E-3</v>
      </c>
      <c r="N21" s="51">
        <f>AVERAGE(OPEX!$E21:$G21)</f>
        <v>1.1789077821011672E-2</v>
      </c>
      <c r="O21" s="51">
        <f>AVERAGE(OPEX!$H21:$I21)</f>
        <v>0.05</v>
      </c>
      <c r="P21" s="51">
        <f>AVERAGE(OPEX!$J21:$K21)</f>
        <v>4.6455999999999997E-2</v>
      </c>
    </row>
    <row r="22" spans="1:16" x14ac:dyDescent="0.3">
      <c r="A22" s="57">
        <v>80</v>
      </c>
      <c r="B22" s="58">
        <v>2.4134790528233152E-3</v>
      </c>
      <c r="C22" s="49">
        <v>7.148260869565215E-3</v>
      </c>
      <c r="D22" s="58">
        <v>0.02</v>
      </c>
      <c r="E22" s="49">
        <v>5.0002334630350198E-3</v>
      </c>
      <c r="F22" s="59">
        <v>2.75E-2</v>
      </c>
      <c r="G22" s="59">
        <v>2.8670000000000002E-3</v>
      </c>
      <c r="H22" s="58">
        <v>0.05</v>
      </c>
      <c r="I22" s="58">
        <v>0.05</v>
      </c>
      <c r="J22" s="49">
        <v>7.2911999999999991E-2</v>
      </c>
      <c r="K22" s="58">
        <v>0.02</v>
      </c>
      <c r="M22" s="48">
        <f>AVERAGE(OPEX!$B22:$D22)</f>
        <v>9.853913307462844E-3</v>
      </c>
      <c r="N22" s="49">
        <f>AVERAGE(OPEX!$E22:$G22)</f>
        <v>1.1789077821011672E-2</v>
      </c>
      <c r="O22" s="49">
        <f>AVERAGE(OPEX!$H22:$I22)</f>
        <v>0.05</v>
      </c>
      <c r="P22" s="49">
        <f>AVERAGE(OPEX!$J22:$K22)</f>
        <v>4.6455999999999997E-2</v>
      </c>
    </row>
    <row r="23" spans="1:16" x14ac:dyDescent="0.3">
      <c r="A23" s="60">
        <v>90</v>
      </c>
      <c r="B23" s="61">
        <v>2.4134790528233152E-3</v>
      </c>
      <c r="C23" s="51">
        <v>7.148260869565215E-3</v>
      </c>
      <c r="D23" s="61">
        <v>0.02</v>
      </c>
      <c r="E23" s="51">
        <v>5.0002334630350198E-3</v>
      </c>
      <c r="F23" s="62">
        <v>2.75E-2</v>
      </c>
      <c r="G23" s="62">
        <v>2.8670000000000002E-3</v>
      </c>
      <c r="H23" s="61">
        <v>0.05</v>
      </c>
      <c r="I23" s="61">
        <v>0.05</v>
      </c>
      <c r="J23" s="51">
        <v>7.2911999999999991E-2</v>
      </c>
      <c r="K23" s="61">
        <v>0.02</v>
      </c>
      <c r="M23" s="50">
        <f>AVERAGE(OPEX!$B23:$D23)</f>
        <v>9.853913307462844E-3</v>
      </c>
      <c r="N23" s="51">
        <f>AVERAGE(OPEX!$E23:$G23)</f>
        <v>1.1789077821011672E-2</v>
      </c>
      <c r="O23" s="51">
        <f>AVERAGE(OPEX!$H23:$I23)</f>
        <v>0.05</v>
      </c>
      <c r="P23" s="51">
        <f>AVERAGE(OPEX!$J23:$K23)</f>
        <v>4.6455999999999997E-2</v>
      </c>
    </row>
    <row r="24" spans="1:16" x14ac:dyDescent="0.3">
      <c r="A24" s="57">
        <v>100</v>
      </c>
      <c r="B24" s="58">
        <v>2.4134790528233152E-3</v>
      </c>
      <c r="C24" s="49">
        <v>7.148260869565215E-3</v>
      </c>
      <c r="D24" s="58">
        <v>0.02</v>
      </c>
      <c r="E24" s="49">
        <v>5.0002334630350198E-3</v>
      </c>
      <c r="F24" s="59">
        <v>2.75E-2</v>
      </c>
      <c r="G24" s="59">
        <v>2.8670000000000002E-3</v>
      </c>
      <c r="H24" s="58">
        <v>0.05</v>
      </c>
      <c r="I24" s="58">
        <v>0.05</v>
      </c>
      <c r="J24" s="49">
        <v>7.2911999999999991E-2</v>
      </c>
      <c r="K24" s="58">
        <v>0.02</v>
      </c>
      <c r="M24" s="48">
        <f>AVERAGE(OPEX!$B24:$D24)</f>
        <v>9.853913307462844E-3</v>
      </c>
      <c r="N24" s="49">
        <f>AVERAGE(OPEX!$E24:$G24)</f>
        <v>1.1789077821011672E-2</v>
      </c>
      <c r="O24" s="49">
        <f>AVERAGE(OPEX!$H24:$I24)</f>
        <v>0.05</v>
      </c>
      <c r="P24" s="49">
        <f>AVERAGE(OPEX!$J24:$K24)</f>
        <v>4.6455999999999997E-2</v>
      </c>
    </row>
    <row r="25" spans="1:16" x14ac:dyDescent="0.3">
      <c r="M25" s="50"/>
      <c r="N25" s="51"/>
      <c r="O25" s="51"/>
      <c r="P25" s="51"/>
    </row>
    <row r="26" spans="1:16" x14ac:dyDescent="0.3">
      <c r="M26" s="48">
        <f>AVERAGE(M15:M24)</f>
        <v>9.8539133074628422E-3</v>
      </c>
      <c r="N26" s="49">
        <f>AVERAGE(N15:N24)</f>
        <v>1.1789077821011672E-2</v>
      </c>
      <c r="O26" s="49">
        <f>AVERAGE(O15:O24)</f>
        <v>4.9999999999999996E-2</v>
      </c>
      <c r="P26" s="49">
        <f>AVERAGE(P15:P24)</f>
        <v>4.4663799999999997E-2</v>
      </c>
    </row>
    <row r="27" spans="1:16" x14ac:dyDescent="0.3">
      <c r="L27" s="97" t="s">
        <v>274</v>
      </c>
      <c r="M27" s="50">
        <f>SUMPRODUCT((B15:D24 - $M$26)^2) / (COUNT(B15:D24) - 1)</f>
        <v>5.7111617994756635E-5</v>
      </c>
      <c r="N27" s="51">
        <f>SUMPRODUCT((E15:G24 - $N$26)^2) / (COUNT(E15:G24) - 1)</f>
        <v>1.2845688140525755E-4</v>
      </c>
      <c r="O27" s="51">
        <f>SUMPRODUCT((H15:I24 - $O$26)^2) / (COUNT(H15:I24) - 1)</f>
        <v>5.0682366957558835E-35</v>
      </c>
      <c r="P27" s="51">
        <f>SUMPRODUCT((J15:K24 - $P$26)^2) / (COUNT(J15:K24) - 1)</f>
        <v>5.8845144964210516E-4</v>
      </c>
    </row>
  </sheetData>
  <hyperlinks>
    <hyperlink ref="D6" r:id="rId1" xr:uid="{AB8E4621-A975-41ED-80DE-776F31B5762E}"/>
    <hyperlink ref="D11" r:id="rId2" xr:uid="{419498D9-C21C-4F1F-9D44-0135A84C6C4A}"/>
    <hyperlink ref="D4" r:id="rId3" xr:uid="{E22D345E-D066-4215-AD22-63F3A0E0848C}"/>
    <hyperlink ref="D8" r:id="rId4" xr:uid="{520204B9-A37A-4EE3-B827-B3292B87B24C}"/>
    <hyperlink ref="D2" r:id="rId5" xr:uid="{5EB4985D-1708-4C25-AD3A-84E582312783}"/>
    <hyperlink ref="D10" r:id="rId6" xr:uid="{A713B202-219C-46C8-8E18-2042797B2FDB}"/>
    <hyperlink ref="D9" r:id="rId7" xr:uid="{54505973-62BC-4385-BE75-9714226A5009}"/>
    <hyperlink ref="D5" r:id="rId8" xr:uid="{214BEE55-0677-4070-9E90-5B49DD202F00}"/>
    <hyperlink ref="D3" r:id="rId9" xr:uid="{5D9D0AB1-3AF9-4161-BCCD-884E0C42E290}"/>
    <hyperlink ref="D7" r:id="rId10" xr:uid="{BD00A647-9E12-49CF-9E1C-1EF62662AC0F}"/>
  </hyperlinks>
  <pageMargins left="0.7" right="0.7" top="0.78740157499999996" bottom="0.78740157499999996" header="0.3" footer="0.3"/>
  <pageSetup paperSize="9" orientation="portrait" r:id="rId11"/>
  <tableParts count="1">
    <tablePart r:id="rId1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1D62F-EDE6-4D48-B327-BC5CFC3740B3}">
  <sheetPr codeName="Tabelle3"/>
  <dimension ref="A1:AX592"/>
  <sheetViews>
    <sheetView topLeftCell="W1" zoomScale="85" zoomScaleNormal="85" workbookViewId="0">
      <selection activeCell="B60" sqref="B60"/>
    </sheetView>
  </sheetViews>
  <sheetFormatPr baseColWidth="10" defaultRowHeight="14.4" x14ac:dyDescent="0.3"/>
  <cols>
    <col min="2" max="2" width="24" customWidth="1"/>
    <col min="3" max="3" width="14.88671875" customWidth="1"/>
    <col min="4" max="4" width="15" customWidth="1"/>
    <col min="5" max="5" width="14.6640625" customWidth="1"/>
    <col min="6" max="6" width="11.77734375" bestFit="1" customWidth="1"/>
    <col min="7" max="7" width="11.77734375" customWidth="1"/>
    <col min="8" max="9" width="14.88671875" bestFit="1" customWidth="1"/>
    <col min="10" max="10" width="13.77734375" bestFit="1" customWidth="1"/>
    <col min="11" max="11" width="12.6640625" bestFit="1" customWidth="1"/>
    <col min="12" max="17" width="11.77734375" bestFit="1" customWidth="1"/>
    <col min="18" max="19" width="13.77734375" bestFit="1" customWidth="1"/>
    <col min="20" max="22" width="11.77734375" bestFit="1" customWidth="1"/>
    <col min="23" max="23" width="13.77734375" bestFit="1" customWidth="1"/>
    <col min="24" max="24" width="14.88671875" bestFit="1" customWidth="1"/>
    <col min="25" max="27" width="11.77734375" bestFit="1" customWidth="1"/>
    <col min="28" max="28" width="12.6640625" bestFit="1" customWidth="1"/>
    <col min="29" max="30" width="11.77734375" bestFit="1" customWidth="1"/>
    <col min="31" max="31" width="12.6640625" bestFit="1" customWidth="1"/>
    <col min="32" max="36" width="11.77734375" bestFit="1" customWidth="1"/>
    <col min="37" max="38" width="12.6640625" bestFit="1" customWidth="1"/>
    <col min="39" max="39" width="11.77734375" bestFit="1" customWidth="1"/>
    <col min="40" max="40" width="13.109375" bestFit="1" customWidth="1"/>
    <col min="41" max="43" width="11.77734375" bestFit="1" customWidth="1"/>
    <col min="44" max="44" width="11.6640625" bestFit="1" customWidth="1"/>
    <col min="45" max="45" width="13.77734375" bestFit="1" customWidth="1"/>
    <col min="46" max="46" width="16" bestFit="1" customWidth="1"/>
    <col min="47" max="47" width="13.77734375" bestFit="1" customWidth="1"/>
    <col min="48" max="48" width="12.6640625" bestFit="1" customWidth="1"/>
    <col min="49" max="50" width="11.6640625" bestFit="1" customWidth="1"/>
  </cols>
  <sheetData>
    <row r="1" spans="1:48" s="12" customFormat="1" ht="26.4" customHeight="1" x14ac:dyDescent="0.3">
      <c r="A1" s="41"/>
      <c r="B1" s="38" t="s">
        <v>127</v>
      </c>
      <c r="C1" s="112" t="s">
        <v>149</v>
      </c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4"/>
      <c r="AO1" s="113" t="s">
        <v>148</v>
      </c>
      <c r="AP1" s="114"/>
      <c r="AQ1" s="111" t="s">
        <v>147</v>
      </c>
      <c r="AR1" s="111"/>
      <c r="AS1" s="111"/>
      <c r="AT1" s="111"/>
      <c r="AU1" s="111"/>
      <c r="AV1" s="111"/>
    </row>
    <row r="2" spans="1:48" x14ac:dyDescent="0.3">
      <c r="A2" s="40" t="s">
        <v>39</v>
      </c>
      <c r="B2" s="39" t="s">
        <v>158</v>
      </c>
      <c r="C2" s="35" t="s">
        <v>128</v>
      </c>
      <c r="D2" s="32" t="s">
        <v>70</v>
      </c>
      <c r="E2" s="32" t="s">
        <v>93</v>
      </c>
      <c r="F2" s="32" t="s">
        <v>91</v>
      </c>
      <c r="G2" s="33" t="s">
        <v>38</v>
      </c>
      <c r="H2" s="32" t="s">
        <v>129</v>
      </c>
      <c r="I2" s="32" t="s">
        <v>130</v>
      </c>
      <c r="J2" s="32" t="s">
        <v>131</v>
      </c>
      <c r="K2" s="32" t="s">
        <v>132</v>
      </c>
      <c r="L2" s="32" t="s">
        <v>67</v>
      </c>
      <c r="M2" s="32" t="s">
        <v>63</v>
      </c>
      <c r="N2" s="32" t="s">
        <v>78</v>
      </c>
      <c r="O2" s="32" t="s">
        <v>68</v>
      </c>
      <c r="P2" s="32" t="s">
        <v>62</v>
      </c>
      <c r="Q2" s="32" t="s">
        <v>74</v>
      </c>
      <c r="R2" s="32" t="s">
        <v>133</v>
      </c>
      <c r="S2" s="32" t="s">
        <v>134</v>
      </c>
      <c r="T2" s="32" t="s">
        <v>64</v>
      </c>
      <c r="U2" s="32" t="s">
        <v>135</v>
      </c>
      <c r="V2" s="32" t="s">
        <v>75</v>
      </c>
      <c r="W2" s="32" t="s">
        <v>136</v>
      </c>
      <c r="X2" s="32" t="s">
        <v>69</v>
      </c>
      <c r="Y2" s="32" t="s">
        <v>138</v>
      </c>
      <c r="Z2" s="32" t="s">
        <v>139</v>
      </c>
      <c r="AA2" s="32" t="s">
        <v>140</v>
      </c>
      <c r="AB2" s="32" t="s">
        <v>141</v>
      </c>
      <c r="AC2" s="32" t="s">
        <v>56</v>
      </c>
      <c r="AD2" s="32" t="s">
        <v>142</v>
      </c>
      <c r="AE2" s="32" t="s">
        <v>77</v>
      </c>
      <c r="AF2" s="32" t="s">
        <v>76</v>
      </c>
      <c r="AG2" s="32" t="s">
        <v>72</v>
      </c>
      <c r="AH2" s="32" t="s">
        <v>143</v>
      </c>
      <c r="AI2" s="32" t="s">
        <v>144</v>
      </c>
      <c r="AJ2" s="32" t="s">
        <v>71</v>
      </c>
      <c r="AK2" s="32" t="s">
        <v>66</v>
      </c>
      <c r="AL2" s="32" t="s">
        <v>65</v>
      </c>
      <c r="AM2" s="32" t="s">
        <v>92</v>
      </c>
      <c r="AN2" s="34" t="s">
        <v>145</v>
      </c>
      <c r="AO2" t="s">
        <v>37</v>
      </c>
      <c r="AP2" s="31" t="s">
        <v>146</v>
      </c>
      <c r="AQ2" t="s">
        <v>123</v>
      </c>
      <c r="AR2" t="s">
        <v>122</v>
      </c>
      <c r="AS2" t="s">
        <v>121</v>
      </c>
      <c r="AT2" t="s">
        <v>120</v>
      </c>
      <c r="AU2" t="s">
        <v>119</v>
      </c>
      <c r="AV2" t="s">
        <v>118</v>
      </c>
    </row>
    <row r="3" spans="1:48" x14ac:dyDescent="0.3">
      <c r="A3" s="40">
        <v>1970</v>
      </c>
      <c r="C3" s="36">
        <v>0.20417727145386461</v>
      </c>
      <c r="D3" s="9">
        <v>0.43208673520707142</v>
      </c>
      <c r="E3" s="9">
        <v>0.28343969725810997</v>
      </c>
      <c r="F3" s="9">
        <v>0.23879046029824982</v>
      </c>
      <c r="G3" s="18">
        <v>1</v>
      </c>
      <c r="H3" s="9">
        <v>2.5789236289665827E-3</v>
      </c>
      <c r="I3" s="9">
        <v>4.2177858545010158</v>
      </c>
      <c r="J3" s="9">
        <v>1.5149955980550875</v>
      </c>
      <c r="K3" s="9"/>
      <c r="L3" s="9">
        <v>1.7150893563189811</v>
      </c>
      <c r="M3" s="9"/>
      <c r="N3" s="9">
        <v>0.16153494677366531</v>
      </c>
      <c r="O3" s="9">
        <v>0.1936291993027664</v>
      </c>
      <c r="P3" s="9">
        <v>0.42793269648516546</v>
      </c>
      <c r="Q3" s="9">
        <v>2.0133110567753354E-2</v>
      </c>
      <c r="R3" s="9">
        <v>13.720714838431885</v>
      </c>
      <c r="S3" s="9">
        <v>0.20123715095974001</v>
      </c>
      <c r="T3" s="9">
        <v>0.12098422227011474</v>
      </c>
      <c r="U3" s="9">
        <v>8.0037327779425353E-5</v>
      </c>
      <c r="V3" s="9">
        <v>7.3814144228665682E-2</v>
      </c>
      <c r="W3" s="9">
        <v>82.324289114058999</v>
      </c>
      <c r="X3" s="9">
        <v>71.017467177487646</v>
      </c>
      <c r="Y3" s="9"/>
      <c r="Z3" s="9"/>
      <c r="AA3" s="9">
        <v>0.28343969725810997</v>
      </c>
      <c r="AB3" s="9">
        <v>2.8584822609127665E-3</v>
      </c>
      <c r="AC3" s="9">
        <v>0.37564673325059111</v>
      </c>
      <c r="AD3" s="9">
        <v>0.20417727145386461</v>
      </c>
      <c r="AE3" s="9">
        <v>1.6334190879459904</v>
      </c>
      <c r="AF3" s="9">
        <v>9.1471432257737097E-5</v>
      </c>
      <c r="AG3" s="9">
        <v>3.279351363264206E-2</v>
      </c>
      <c r="AH3" s="9"/>
      <c r="AI3" s="9"/>
      <c r="AJ3" s="9">
        <v>9.6207016582594021E-2</v>
      </c>
      <c r="AK3" s="9">
        <v>1.183002321129444</v>
      </c>
      <c r="AL3" s="9">
        <v>2.590585300600758E-6</v>
      </c>
      <c r="AM3" s="9">
        <v>9.5282818027940586E-2</v>
      </c>
      <c r="AN3" s="30">
        <v>0.22867858064434274</v>
      </c>
      <c r="AO3" s="9"/>
      <c r="AP3" s="30"/>
      <c r="AQ3" s="9"/>
      <c r="AR3" s="9">
        <v>0.56296296480097729</v>
      </c>
      <c r="AS3" s="9">
        <v>1.7150893563189811</v>
      </c>
      <c r="AT3" s="9">
        <v>82.972211677122274</v>
      </c>
      <c r="AU3" s="9"/>
      <c r="AV3" s="9">
        <v>0.1633419085887883</v>
      </c>
    </row>
    <row r="4" spans="1:48" x14ac:dyDescent="0.3">
      <c r="A4" s="37">
        <v>1971</v>
      </c>
      <c r="B4" s="40"/>
      <c r="C4" s="9">
        <v>0.21352235065804667</v>
      </c>
      <c r="D4" s="9">
        <v>0.43924461801049608</v>
      </c>
      <c r="E4" s="9">
        <v>0.29417842412059675</v>
      </c>
      <c r="F4" s="9">
        <v>0.2442782214978321</v>
      </c>
      <c r="G4" s="18">
        <v>1</v>
      </c>
      <c r="H4" s="9">
        <v>2.9533319457590267E-3</v>
      </c>
      <c r="I4" s="9">
        <v>4.8219730357524186</v>
      </c>
      <c r="J4" s="9">
        <v>1.6028222256112585</v>
      </c>
      <c r="K4" s="9"/>
      <c r="L4" s="9">
        <v>1.7964682996411416</v>
      </c>
      <c r="M4" s="9"/>
      <c r="N4" s="9">
        <v>0.17024513275262693</v>
      </c>
      <c r="O4" s="9">
        <v>0.20432729289441057</v>
      </c>
      <c r="P4" s="9">
        <v>0.43380868140293649</v>
      </c>
      <c r="Q4" s="9">
        <v>2.1297579048577295E-2</v>
      </c>
      <c r="R4" s="9">
        <v>14.471148286804132</v>
      </c>
      <c r="S4" s="9">
        <v>0.21287640155114837</v>
      </c>
      <c r="T4" s="9">
        <v>0.12621660787519898</v>
      </c>
      <c r="U4" s="9">
        <v>9.1722112122021249E-5</v>
      </c>
      <c r="V4" s="9">
        <v>7.7503661674355018E-2</v>
      </c>
      <c r="W4" s="9">
        <v>84.830688083163452</v>
      </c>
      <c r="X4" s="9">
        <v>83.976716610143754</v>
      </c>
      <c r="Y4" s="9"/>
      <c r="Z4" s="9"/>
      <c r="AA4" s="9">
        <v>0.29417842412059675</v>
      </c>
      <c r="AB4" s="9">
        <v>3.0238125251917476E-3</v>
      </c>
      <c r="AC4" s="9">
        <v>0.38607592381408279</v>
      </c>
      <c r="AD4" s="9">
        <v>0.213023284989934</v>
      </c>
      <c r="AE4" s="9">
        <v>1.7068588255695927</v>
      </c>
      <c r="AF4" s="9">
        <v>9.4181680674037139E-5</v>
      </c>
      <c r="AG4" s="9">
        <v>3.4219865346027299E-2</v>
      </c>
      <c r="AH4" s="9"/>
      <c r="AI4" s="9"/>
      <c r="AJ4" s="9">
        <v>0.10099898996547894</v>
      </c>
      <c r="AK4" s="9">
        <v>1.2399821180909596</v>
      </c>
      <c r="AL4" s="9">
        <v>3.5963210267454885E-6</v>
      </c>
      <c r="AM4" s="9">
        <v>9.940366077239135E-2</v>
      </c>
      <c r="AN4" s="30">
        <v>0.2419050017936</v>
      </c>
      <c r="AO4" s="9"/>
      <c r="AP4" s="30"/>
      <c r="AQ4" s="9"/>
      <c r="AR4" s="9">
        <v>0.59552388608582985</v>
      </c>
      <c r="AS4" s="9">
        <v>1.812336605484907</v>
      </c>
      <c r="AT4" s="9">
        <v>94.796522577866995</v>
      </c>
      <c r="AU4" s="9"/>
      <c r="AV4" s="9">
        <v>0.17301454942554811</v>
      </c>
    </row>
    <row r="5" spans="1:48" x14ac:dyDescent="0.3">
      <c r="A5" s="37">
        <v>1972</v>
      </c>
      <c r="B5" s="40"/>
      <c r="C5" s="9">
        <v>0.21959751455961365</v>
      </c>
      <c r="D5" s="9">
        <v>0.43983944136552972</v>
      </c>
      <c r="E5" s="9">
        <v>0.28568253470012239</v>
      </c>
      <c r="F5" s="9">
        <v>0.25938667437133456</v>
      </c>
      <c r="G5" s="18">
        <v>1</v>
      </c>
      <c r="H5" s="9">
        <v>5.4553184696085142E-3</v>
      </c>
      <c r="I5" s="9">
        <v>5.7253823846022076</v>
      </c>
      <c r="J5" s="9">
        <v>1.7372520784806575</v>
      </c>
      <c r="K5" s="9"/>
      <c r="L5" s="9">
        <v>1.8195435406130007</v>
      </c>
      <c r="M5" s="9"/>
      <c r="N5" s="9">
        <v>0.18259166218653311</v>
      </c>
      <c r="O5" s="9">
        <v>0.2013578199963707</v>
      </c>
      <c r="P5" s="9">
        <v>0.42687087677586721</v>
      </c>
      <c r="Q5" s="9">
        <v>2.3052161100418446E-2</v>
      </c>
      <c r="R5" s="9">
        <v>14.468809324728365</v>
      </c>
      <c r="S5" s="9">
        <v>0.23109342048425249</v>
      </c>
      <c r="T5" s="9">
        <v>0.13311278794988488</v>
      </c>
      <c r="U5" s="9">
        <v>1.0944024913803501E-4</v>
      </c>
      <c r="V5" s="9">
        <v>7.886540593658084E-2</v>
      </c>
      <c r="W5" s="9">
        <v>79.380113917229849</v>
      </c>
      <c r="X5" s="9">
        <v>102.87207351431252</v>
      </c>
      <c r="Y5" s="9"/>
      <c r="Z5" s="9"/>
      <c r="AA5" s="9">
        <v>0.28568253470012239</v>
      </c>
      <c r="AB5" s="9">
        <v>3.2728999256903578E-3</v>
      </c>
      <c r="AC5" s="9">
        <v>0.38133340406332483</v>
      </c>
      <c r="AD5" s="9">
        <v>0.21906920305468144</v>
      </c>
      <c r="AE5" s="9">
        <v>1.7250112388539325</v>
      </c>
      <c r="AF5" s="9">
        <v>9.6353996202488452E-5</v>
      </c>
      <c r="AG5" s="9">
        <v>3.5332034680341962E-2</v>
      </c>
      <c r="AH5" s="9"/>
      <c r="AI5" s="9"/>
      <c r="AJ5" s="9">
        <v>0.10114001280938273</v>
      </c>
      <c r="AK5" s="9">
        <v>1.2469507539212177</v>
      </c>
      <c r="AL5" s="9">
        <v>3.7049158875970193E-6</v>
      </c>
      <c r="AM5" s="9">
        <v>0.10483483972896324</v>
      </c>
      <c r="AN5" s="30">
        <v>0.2618315114909554</v>
      </c>
      <c r="AO5" s="9"/>
      <c r="AP5" s="30"/>
      <c r="AQ5" s="9"/>
      <c r="AR5" s="9">
        <v>0.58782914163473954</v>
      </c>
      <c r="AS5" s="9">
        <v>1.9884711333214193</v>
      </c>
      <c r="AT5" s="9">
        <v>108.66007726874649</v>
      </c>
      <c r="AU5" s="9"/>
      <c r="AV5" s="9">
        <v>0.20127649077627899</v>
      </c>
    </row>
    <row r="6" spans="1:48" x14ac:dyDescent="0.3">
      <c r="A6" s="37">
        <v>1973</v>
      </c>
      <c r="B6" s="40"/>
      <c r="C6" s="9">
        <v>0.22248056501256513</v>
      </c>
      <c r="D6" s="9">
        <v>0.4496079077420233</v>
      </c>
      <c r="E6" s="9">
        <v>0.30529323200404901</v>
      </c>
      <c r="F6" s="9">
        <v>0.31600088692074446</v>
      </c>
      <c r="G6" s="18">
        <v>1</v>
      </c>
      <c r="H6" s="9">
        <v>2.2636866124703441E-2</v>
      </c>
      <c r="I6" s="9">
        <v>7.4479962104883812</v>
      </c>
      <c r="J6" s="9">
        <v>2.1001922168387548</v>
      </c>
      <c r="K6" s="9"/>
      <c r="L6" s="9">
        <v>1.9114750647487064</v>
      </c>
      <c r="M6" s="9"/>
      <c r="N6" s="9">
        <v>0.20306728054724429</v>
      </c>
      <c r="O6" s="9">
        <v>0.21448898377099435</v>
      </c>
      <c r="P6" s="9">
        <v>0.43176955551491547</v>
      </c>
      <c r="Q6" s="9">
        <v>2.7471030366923891E-2</v>
      </c>
      <c r="R6" s="9">
        <v>15.471975884938463</v>
      </c>
      <c r="S6" s="9">
        <v>0.284799094248877</v>
      </c>
      <c r="T6" s="9">
        <v>0.16375907901577111</v>
      </c>
      <c r="U6" s="9">
        <v>1.3254070170409072E-4</v>
      </c>
      <c r="V6" s="9">
        <v>9.5136833014451222E-2</v>
      </c>
      <c r="W6" s="9">
        <v>85.850229104675208</v>
      </c>
      <c r="X6" s="9">
        <v>125.85865504724964</v>
      </c>
      <c r="Y6" s="9"/>
      <c r="Z6" s="9"/>
      <c r="AA6" s="9">
        <v>0.30529323200404901</v>
      </c>
      <c r="AB6" s="9">
        <v>3.9496398698904197E-3</v>
      </c>
      <c r="AC6" s="9">
        <v>0.40083162347956758</v>
      </c>
      <c r="AD6" s="9">
        <v>0.2328122994554376</v>
      </c>
      <c r="AE6" s="9">
        <v>1.821844225816009</v>
      </c>
      <c r="AF6" s="9">
        <v>1.0585075569973053E-4</v>
      </c>
      <c r="AG6" s="9">
        <v>3.8637464583780902E-2</v>
      </c>
      <c r="AH6" s="9"/>
      <c r="AI6" s="9"/>
      <c r="AJ6" s="9">
        <v>0.11063778596645027</v>
      </c>
      <c r="AK6" s="9">
        <v>1.3799304861545987</v>
      </c>
      <c r="AL6" s="9">
        <v>4.4710095331292181E-6</v>
      </c>
      <c r="AM6" s="9">
        <v>0.1289707553059764</v>
      </c>
      <c r="AN6" s="30">
        <v>0.31597240516814262</v>
      </c>
      <c r="AO6" s="9"/>
      <c r="AP6" s="30"/>
      <c r="AQ6" s="9"/>
      <c r="AR6" s="9">
        <v>0.62860040819696383</v>
      </c>
      <c r="AS6" s="9">
        <v>2.4462705453869429</v>
      </c>
      <c r="AT6" s="9">
        <v>131.12854814477919</v>
      </c>
      <c r="AU6" s="9"/>
      <c r="AV6" s="9">
        <v>0.2192719252900393</v>
      </c>
    </row>
    <row r="7" spans="1:48" x14ac:dyDescent="0.3">
      <c r="A7" s="37">
        <v>1974</v>
      </c>
      <c r="B7" s="40"/>
      <c r="C7" s="9">
        <v>0.23383934509421342</v>
      </c>
      <c r="D7" s="9">
        <v>0.45596608309675457</v>
      </c>
      <c r="E7" s="9">
        <v>0.32410253027432961</v>
      </c>
      <c r="F7" s="9">
        <v>0.3282764205459795</v>
      </c>
      <c r="G7" s="18">
        <v>1</v>
      </c>
      <c r="H7" s="9">
        <v>0.19898506721094908</v>
      </c>
      <c r="I7" s="9">
        <v>8.7477273392344816</v>
      </c>
      <c r="J7" s="9">
        <v>2.6617437280059559</v>
      </c>
      <c r="K7" s="9"/>
      <c r="L7" s="9">
        <v>2.045783335082918</v>
      </c>
      <c r="M7" s="9"/>
      <c r="N7" s="9">
        <v>0.21303992198215155</v>
      </c>
      <c r="O7" s="9">
        <v>0.24610946034064798</v>
      </c>
      <c r="P7" s="9">
        <v>0.44410357153589786</v>
      </c>
      <c r="Q7" s="9">
        <v>2.9551721503490044E-2</v>
      </c>
      <c r="R7" s="9">
        <v>15.692674335719619</v>
      </c>
      <c r="S7" s="9">
        <v>0.33549271354736654</v>
      </c>
      <c r="T7" s="9">
        <v>0.18230717127572821</v>
      </c>
      <c r="U7" s="9">
        <v>1.4941794021328117E-4</v>
      </c>
      <c r="V7" s="9">
        <v>0.11273787073552635</v>
      </c>
      <c r="W7" s="9">
        <v>98.03893600647443</v>
      </c>
      <c r="X7" s="9">
        <v>135.76319548066232</v>
      </c>
      <c r="Y7" s="9"/>
      <c r="Z7" s="9"/>
      <c r="AA7" s="9">
        <v>0.32410253027432961</v>
      </c>
      <c r="AB7" s="9">
        <v>4.195676402938886E-3</v>
      </c>
      <c r="AC7" s="9">
        <v>0.40947727444451704</v>
      </c>
      <c r="AD7" s="9">
        <v>0.24012841785868774</v>
      </c>
      <c r="AE7" s="9">
        <v>1.8594305057288782</v>
      </c>
      <c r="AF7" s="9">
        <v>1.1143744231314508E-4</v>
      </c>
      <c r="AG7" s="9">
        <v>4.2539364287802091E-2</v>
      </c>
      <c r="AH7" s="9"/>
      <c r="AI7" s="9"/>
      <c r="AJ7" s="9">
        <v>0.11637252587252246</v>
      </c>
      <c r="AK7" s="9">
        <v>1.4901149619837593</v>
      </c>
      <c r="AL7" s="9">
        <v>4.6746944155994614E-6</v>
      </c>
      <c r="AM7" s="9">
        <v>0.14357856503859748</v>
      </c>
      <c r="AN7" s="30">
        <v>0.33565494682744146</v>
      </c>
      <c r="AO7" s="9"/>
      <c r="AP7" s="30"/>
      <c r="AQ7" s="9"/>
      <c r="AR7" s="9">
        <v>0.65825529563971652</v>
      </c>
      <c r="AS7" s="9">
        <v>2.719343200448983</v>
      </c>
      <c r="AT7" s="9">
        <v>139.29680293338822</v>
      </c>
      <c r="AU7" s="9"/>
      <c r="AV7" s="9">
        <v>0.22806981750384184</v>
      </c>
    </row>
    <row r="8" spans="1:48" x14ac:dyDescent="0.3">
      <c r="A8" s="37">
        <v>1975</v>
      </c>
      <c r="B8" s="40"/>
      <c r="C8" s="9">
        <v>0.29592692882917437</v>
      </c>
      <c r="D8" s="9">
        <v>0.49034701791047014</v>
      </c>
      <c r="E8" s="9">
        <v>0.35320629762318906</v>
      </c>
      <c r="F8" s="9">
        <v>0.39405176896293703</v>
      </c>
      <c r="G8" s="18">
        <v>1</v>
      </c>
      <c r="H8" s="9">
        <v>1.9023160321069479</v>
      </c>
      <c r="I8" s="9">
        <v>11.981443343162535</v>
      </c>
      <c r="J8" s="9">
        <v>3.3200539791099022</v>
      </c>
      <c r="K8" s="9"/>
      <c r="L8" s="9">
        <v>2.2260826337185988</v>
      </c>
      <c r="M8" s="9"/>
      <c r="N8" s="9">
        <v>0.23968981277918772</v>
      </c>
      <c r="O8" s="9">
        <v>0.25323482084325105</v>
      </c>
      <c r="P8" s="9">
        <v>0.48732626071908897</v>
      </c>
      <c r="Q8" s="9">
        <v>3.643967092098515E-2</v>
      </c>
      <c r="R8" s="9">
        <v>17.034698508344775</v>
      </c>
      <c r="S8" s="9">
        <v>0.59542088249199676</v>
      </c>
      <c r="T8" s="9">
        <v>0.22235989124336566</v>
      </c>
      <c r="U8" s="9">
        <v>2.4546508443642817E-4</v>
      </c>
      <c r="V8" s="9">
        <v>0.13062047546474206</v>
      </c>
      <c r="W8" s="9">
        <v>114.97672350493441</v>
      </c>
      <c r="X8" s="9">
        <v>187.50363198094473</v>
      </c>
      <c r="Y8" s="9"/>
      <c r="Z8" s="9"/>
      <c r="AA8" s="9">
        <v>0.35320629762318906</v>
      </c>
      <c r="AB8" s="9">
        <v>4.8425524788467131E-3</v>
      </c>
      <c r="AC8" s="9">
        <v>0.44458753138880847</v>
      </c>
      <c r="AD8" s="9">
        <v>0.32243931108642804</v>
      </c>
      <c r="AE8" s="9">
        <v>2.0249391455888999</v>
      </c>
      <c r="AF8" s="9">
        <v>1.2861819383816868E-4</v>
      </c>
      <c r="AG8" s="9">
        <v>4.937721405373352E-2</v>
      </c>
      <c r="AH8" s="9"/>
      <c r="AI8" s="9"/>
      <c r="AJ8" s="9">
        <v>0.13366317195065508</v>
      </c>
      <c r="AK8" s="9">
        <v>1.6085764834576595</v>
      </c>
      <c r="AL8" s="9">
        <v>5.5949237155143956E-6</v>
      </c>
      <c r="AM8" s="9">
        <v>0.17512264538718969</v>
      </c>
      <c r="AN8" s="30">
        <v>0.38740419830773704</v>
      </c>
      <c r="AO8" s="9"/>
      <c r="AP8" s="30"/>
      <c r="AQ8" s="9"/>
      <c r="AR8" s="9">
        <v>0.72050338915928624</v>
      </c>
      <c r="AS8" s="9">
        <v>3.2448557043182613</v>
      </c>
      <c r="AT8" s="9">
        <v>160.77274229732348</v>
      </c>
      <c r="AU8" s="9"/>
      <c r="AV8" s="9">
        <v>0.28648840908293122</v>
      </c>
    </row>
    <row r="9" spans="1:48" x14ac:dyDescent="0.3">
      <c r="A9" s="37">
        <v>1976</v>
      </c>
      <c r="B9" s="40"/>
      <c r="C9" s="9">
        <v>0.32736055473287712</v>
      </c>
      <c r="D9" s="9">
        <v>0.52156532614109952</v>
      </c>
      <c r="E9" s="9">
        <v>0.38285370940714725</v>
      </c>
      <c r="F9" s="9">
        <v>0.39446786217154933</v>
      </c>
      <c r="G9" s="18">
        <v>1</v>
      </c>
      <c r="H9" s="9">
        <v>5.2224152147623082</v>
      </c>
      <c r="I9" s="9">
        <v>13.879989470246732</v>
      </c>
      <c r="J9" s="9">
        <v>3.4284914179603545</v>
      </c>
      <c r="K9" s="9"/>
      <c r="L9" s="9">
        <v>2.4183566316039271</v>
      </c>
      <c r="M9" s="9"/>
      <c r="N9" s="9">
        <v>0.2600165595431414</v>
      </c>
      <c r="O9" s="9">
        <v>0.29291961980597297</v>
      </c>
      <c r="P9" s="9">
        <v>0.51504700614642085</v>
      </c>
      <c r="Q9" s="9">
        <v>4.2873447727673764E-2</v>
      </c>
      <c r="R9" s="9">
        <v>16.632490662693538</v>
      </c>
      <c r="S9" s="9">
        <v>0.72879112687728254</v>
      </c>
      <c r="T9" s="9">
        <v>0.28268920894381677</v>
      </c>
      <c r="U9" s="9">
        <v>3.1706830624748716E-4</v>
      </c>
      <c r="V9" s="9">
        <v>0.17197071043960935</v>
      </c>
      <c r="W9" s="9">
        <v>118.63800482385842</v>
      </c>
      <c r="X9" s="9">
        <v>193.62775338231498</v>
      </c>
      <c r="Y9" s="9"/>
      <c r="Z9" s="9"/>
      <c r="AA9" s="9">
        <v>0.38285370940714725</v>
      </c>
      <c r="AB9" s="9">
        <v>6.1712245443142676E-3</v>
      </c>
      <c r="AC9" s="9">
        <v>0.47997616491000433</v>
      </c>
      <c r="AD9" s="9">
        <v>0.40201313789070253</v>
      </c>
      <c r="AE9" s="9">
        <v>2.1829195522028835</v>
      </c>
      <c r="AF9" s="9">
        <v>1.328190374440673E-4</v>
      </c>
      <c r="AG9" s="9">
        <v>6.0321458884242875E-2</v>
      </c>
      <c r="AH9" s="9"/>
      <c r="AI9" s="9"/>
      <c r="AJ9" s="9">
        <v>0.16086090772867212</v>
      </c>
      <c r="AK9" s="9">
        <v>1.742606440495424</v>
      </c>
      <c r="AL9" s="9">
        <v>6.4221538438724114E-6</v>
      </c>
      <c r="AM9" s="9">
        <v>0.22263584415262819</v>
      </c>
      <c r="AN9" s="30">
        <v>0.40005734169899787</v>
      </c>
      <c r="AO9" s="9"/>
      <c r="AP9" s="30"/>
      <c r="AQ9" s="9"/>
      <c r="AR9" s="9">
        <v>0.77667746446308006</v>
      </c>
      <c r="AS9" s="9">
        <v>3.584678896539121</v>
      </c>
      <c r="AT9" s="9">
        <v>166.02379680468405</v>
      </c>
      <c r="AU9" s="9"/>
      <c r="AV9" s="9">
        <v>0.34787594960597723</v>
      </c>
    </row>
    <row r="10" spans="1:48" x14ac:dyDescent="0.3">
      <c r="A10" s="37">
        <v>1977</v>
      </c>
      <c r="B10" s="40"/>
      <c r="C10" s="9">
        <v>0.3752093276542332</v>
      </c>
      <c r="D10" s="9">
        <v>0.49970683662845178</v>
      </c>
      <c r="E10" s="9">
        <v>0.36967311083856547</v>
      </c>
      <c r="F10" s="9">
        <v>0.44245082165914595</v>
      </c>
      <c r="G10" s="18">
        <v>1</v>
      </c>
      <c r="H10" s="9">
        <v>8.9601037390111333</v>
      </c>
      <c r="I10" s="9">
        <v>15.300097430593283</v>
      </c>
      <c r="J10" s="9">
        <v>3.5655963642471273</v>
      </c>
      <c r="K10" s="9"/>
      <c r="L10" s="9">
        <v>2.4976614211758879</v>
      </c>
      <c r="M10" s="9"/>
      <c r="N10" s="9">
        <v>0.28196055130473607</v>
      </c>
      <c r="O10" s="9">
        <v>0.31112172854728265</v>
      </c>
      <c r="P10" s="9">
        <v>0.49398840654586385</v>
      </c>
      <c r="Q10" s="9">
        <v>4.4979688925965246E-2</v>
      </c>
      <c r="R10" s="9">
        <v>17.041948808671165</v>
      </c>
      <c r="S10" s="9">
        <v>0.82740974203689555</v>
      </c>
      <c r="T10" s="9">
        <v>0.30284905987223615</v>
      </c>
      <c r="U10" s="9">
        <v>4.3458911359471093E-4</v>
      </c>
      <c r="V10" s="9">
        <v>0.18960299666173669</v>
      </c>
      <c r="W10" s="9">
        <v>111.71508516608318</v>
      </c>
      <c r="X10" s="9">
        <v>201.37090320851581</v>
      </c>
      <c r="Y10" s="9"/>
      <c r="Z10" s="9"/>
      <c r="AA10" s="9">
        <v>0.36967311083856547</v>
      </c>
      <c r="AB10" s="9">
        <v>9.3915672489410674E-3</v>
      </c>
      <c r="AC10" s="9">
        <v>0.4633569841096582</v>
      </c>
      <c r="AD10" s="9">
        <v>0.42866691677098823</v>
      </c>
      <c r="AE10" s="9">
        <v>2.2148719070850476</v>
      </c>
      <c r="AF10" s="9">
        <v>1.3813045426699846E-4</v>
      </c>
      <c r="AG10" s="9">
        <v>7.9435255181354095E-2</v>
      </c>
      <c r="AH10" s="9"/>
      <c r="AI10" s="9"/>
      <c r="AJ10" s="9">
        <v>0.18994593905463447</v>
      </c>
      <c r="AK10" s="9">
        <v>1.8646120456037452</v>
      </c>
      <c r="AL10" s="9">
        <v>7.489936657198622E-6</v>
      </c>
      <c r="AM10" s="9">
        <v>0.23851301698921773</v>
      </c>
      <c r="AN10" s="30">
        <v>0.4160555851415616</v>
      </c>
      <c r="AO10" s="9"/>
      <c r="AP10" s="30"/>
      <c r="AQ10" s="9"/>
      <c r="AR10" s="9">
        <v>0.77295779438735934</v>
      </c>
      <c r="AS10" s="9">
        <v>3.6357334222603903</v>
      </c>
      <c r="AT10" s="9">
        <v>172.66306783333201</v>
      </c>
      <c r="AU10" s="9"/>
      <c r="AV10" s="9">
        <v>0.36178746565508613</v>
      </c>
    </row>
    <row r="11" spans="1:48" x14ac:dyDescent="0.3">
      <c r="A11" s="37">
        <v>1978</v>
      </c>
      <c r="B11" s="30">
        <v>1.008</v>
      </c>
      <c r="C11" s="9">
        <v>0.48861690936450147</v>
      </c>
      <c r="D11" s="9">
        <v>0.59022143084333611</v>
      </c>
      <c r="E11" s="9">
        <v>0.43660930596491992</v>
      </c>
      <c r="F11" s="9">
        <v>0.63794363682188882</v>
      </c>
      <c r="G11" s="18">
        <v>1</v>
      </c>
      <c r="H11" s="9">
        <v>17.704357235839304</v>
      </c>
      <c r="I11" s="9">
        <v>21.864906819758495</v>
      </c>
      <c r="J11" s="9">
        <v>4.7929978622193472</v>
      </c>
      <c r="K11" s="9"/>
      <c r="L11" s="9">
        <v>3.0841990471683278</v>
      </c>
      <c r="M11" s="9"/>
      <c r="N11" s="9">
        <v>0.38729086900134513</v>
      </c>
      <c r="O11" s="9">
        <v>0.38479196872589477</v>
      </c>
      <c r="P11" s="9">
        <v>0.57437320779768741</v>
      </c>
      <c r="Q11" s="9">
        <v>6.0310610575871684E-2</v>
      </c>
      <c r="R11" s="9">
        <v>21.20291943060203</v>
      </c>
      <c r="S11" s="9">
        <v>1.5162586283942754</v>
      </c>
      <c r="T11" s="9">
        <v>0.3703383490396906</v>
      </c>
      <c r="U11" s="9">
        <v>9.7511901364149786E-4</v>
      </c>
      <c r="V11" s="9">
        <v>0.24512970103151818</v>
      </c>
      <c r="W11" s="9">
        <v>117.69503600580042</v>
      </c>
      <c r="X11" s="9">
        <v>270.68972760616731</v>
      </c>
      <c r="Y11" s="9"/>
      <c r="Z11" s="9"/>
      <c r="AA11" s="9">
        <v>0.43660930596491992</v>
      </c>
      <c r="AB11" s="9">
        <v>1.2733201908185235E-2</v>
      </c>
      <c r="AC11" s="9">
        <v>0.5490926092199524</v>
      </c>
      <c r="AD11" s="9">
        <v>0.53938004189233102</v>
      </c>
      <c r="AE11" s="9">
        <v>2.9318661658527705</v>
      </c>
      <c r="AF11" s="9">
        <v>3.2493952838674218E-4</v>
      </c>
      <c r="AG11" s="9">
        <v>0.12257015130249276</v>
      </c>
      <c r="AH11" s="9"/>
      <c r="AI11" s="9"/>
      <c r="AJ11" s="9">
        <v>0.25770498661505892</v>
      </c>
      <c r="AK11" s="9">
        <v>2.5270759642036928</v>
      </c>
      <c r="AL11" s="9">
        <v>1.3580440248981604E-5</v>
      </c>
      <c r="AM11" s="9">
        <v>0.29166515152309497</v>
      </c>
      <c r="AN11" s="30">
        <v>0.55927629670695722</v>
      </c>
      <c r="AO11" s="9"/>
      <c r="AP11" s="30"/>
      <c r="AQ11" s="9"/>
      <c r="AR11" s="9">
        <v>0.94159165535306488</v>
      </c>
      <c r="AS11" s="9">
        <v>4.5820614095666814</v>
      </c>
      <c r="AT11" s="9">
        <v>247.22552360919738</v>
      </c>
      <c r="AU11" s="9"/>
      <c r="AV11" s="9">
        <v>0.48632721495068215</v>
      </c>
    </row>
    <row r="12" spans="1:48" x14ac:dyDescent="0.3">
      <c r="A12" s="37">
        <v>1979</v>
      </c>
      <c r="B12" s="30">
        <v>1.044</v>
      </c>
      <c r="C12" s="9">
        <v>0.53805705463013231</v>
      </c>
      <c r="D12" s="9">
        <v>0.58425422798841808</v>
      </c>
      <c r="E12" s="9">
        <v>0.43710821846129938</v>
      </c>
      <c r="F12" s="9">
        <v>0.70452088979184357</v>
      </c>
      <c r="G12" s="18">
        <v>1</v>
      </c>
      <c r="H12" s="9">
        <v>22.400477140758181</v>
      </c>
      <c r="I12" s="9">
        <v>25.589519227046232</v>
      </c>
      <c r="J12" s="9">
        <v>5.1541896607825661</v>
      </c>
      <c r="K12" s="9"/>
      <c r="L12" s="9">
        <v>3.1640579983062307</v>
      </c>
      <c r="M12" s="9"/>
      <c r="N12" s="9">
        <v>0.39402068077418395</v>
      </c>
      <c r="O12" s="9">
        <v>0.39007150311713051</v>
      </c>
      <c r="P12" s="9">
        <v>0.56361597233683791</v>
      </c>
      <c r="Q12" s="9">
        <v>6.5372654785359058E-2</v>
      </c>
      <c r="R12" s="9">
        <v>21.397404873694903</v>
      </c>
      <c r="S12" s="9">
        <v>2.1206152559062468</v>
      </c>
      <c r="T12" s="9">
        <v>0.37311492693760923</v>
      </c>
      <c r="U12" s="9">
        <v>1.5279958560054539E-3</v>
      </c>
      <c r="V12" s="9">
        <v>0.25807288648163085</v>
      </c>
      <c r="W12" s="9">
        <v>131.79569689524496</v>
      </c>
      <c r="X12" s="9">
        <v>291.08842428352978</v>
      </c>
      <c r="Y12" s="9"/>
      <c r="Z12" s="9"/>
      <c r="AA12" s="9">
        <v>0.43710821846129938</v>
      </c>
      <c r="AB12" s="9">
        <v>1.3715667560724558E-2</v>
      </c>
      <c r="AC12" s="9">
        <v>0.54746234768882129</v>
      </c>
      <c r="AD12" s="9">
        <v>0.5884932863458805</v>
      </c>
      <c r="AE12" s="9">
        <v>3.0456429466439188</v>
      </c>
      <c r="AF12" s="9">
        <v>1.9967222492176008E-3</v>
      </c>
      <c r="AG12" s="9">
        <v>0.14676463217650348</v>
      </c>
      <c r="AH12" s="9"/>
      <c r="AI12" s="9"/>
      <c r="AJ12" s="9">
        <v>0.24263144854832999</v>
      </c>
      <c r="AK12" s="9">
        <v>2.5783477933493657</v>
      </c>
      <c r="AL12" s="9">
        <v>1.8690703523513035E-5</v>
      </c>
      <c r="AM12" s="9">
        <v>0.2839803129964259</v>
      </c>
      <c r="AN12" s="30">
        <v>0.60142236422216899</v>
      </c>
      <c r="AO12" s="9"/>
      <c r="AP12" s="30"/>
      <c r="AQ12" s="9"/>
      <c r="AR12" s="9">
        <v>0.93517506194476352</v>
      </c>
      <c r="AS12" s="9">
        <v>4.8870324021330562</v>
      </c>
      <c r="AT12" s="9">
        <v>374.71951185107412</v>
      </c>
      <c r="AU12" s="9"/>
      <c r="AV12" s="9">
        <v>0.50641122398421567</v>
      </c>
    </row>
    <row r="13" spans="1:48" x14ac:dyDescent="0.3">
      <c r="A13" s="37">
        <v>1980</v>
      </c>
      <c r="B13" s="30">
        <v>1.0859999999999999</v>
      </c>
      <c r="C13" s="9">
        <v>0.52410333902165485</v>
      </c>
      <c r="D13" s="9">
        <v>0.5611007059609483</v>
      </c>
      <c r="E13" s="9">
        <v>0.43258242971447652</v>
      </c>
      <c r="F13" s="9">
        <v>0.6977508221040708</v>
      </c>
      <c r="G13" s="18">
        <v>1</v>
      </c>
      <c r="H13" s="9">
        <v>23.273739971129849</v>
      </c>
      <c r="I13" s="9">
        <v>28.213939391497437</v>
      </c>
      <c r="J13" s="9">
        <v>5.1142551674679106</v>
      </c>
      <c r="K13" s="9"/>
      <c r="L13" s="9">
        <v>3.3633189953636489</v>
      </c>
      <c r="M13" s="9"/>
      <c r="N13" s="9">
        <v>0.37438196673675239</v>
      </c>
      <c r="O13" s="9">
        <v>0.38442534619382568</v>
      </c>
      <c r="P13" s="9">
        <v>0.55460618706171338</v>
      </c>
      <c r="Q13" s="9">
        <v>7.4635308910187478E-2</v>
      </c>
      <c r="R13" s="9">
        <v>19.414048793431974</v>
      </c>
      <c r="S13" s="9">
        <v>2.8630529386356214</v>
      </c>
      <c r="T13" s="9">
        <v>0.36874677213405171</v>
      </c>
      <c r="U13" s="9">
        <v>3.0579854298296736E-3</v>
      </c>
      <c r="V13" s="9">
        <v>0.26395895483775267</v>
      </c>
      <c r="W13" s="9">
        <v>135.31044091860633</v>
      </c>
      <c r="X13" s="9">
        <v>362.6625557979944</v>
      </c>
      <c r="Y13" s="9"/>
      <c r="Z13" s="9"/>
      <c r="AA13" s="9">
        <v>0.43258242971447652</v>
      </c>
      <c r="AB13" s="9">
        <v>1.3696302564152637E-2</v>
      </c>
      <c r="AC13" s="9">
        <v>0.5383800943934316</v>
      </c>
      <c r="AD13" s="9">
        <v>0.61268418805550395</v>
      </c>
      <c r="AE13" s="9">
        <v>2.947544571426413</v>
      </c>
      <c r="AF13" s="9">
        <v>2.6386851343338522E-3</v>
      </c>
      <c r="AG13" s="9">
        <v>0.14901690433449727</v>
      </c>
      <c r="AH13" s="9"/>
      <c r="AI13" s="9"/>
      <c r="AJ13" s="9">
        <v>0.25716718706827957</v>
      </c>
      <c r="AK13" s="9">
        <v>2.5240520183363535</v>
      </c>
      <c r="AL13" s="9">
        <v>4.5376681522957556E-5</v>
      </c>
      <c r="AM13" s="9">
        <v>0.25678394660521997</v>
      </c>
      <c r="AN13" s="30">
        <v>0.59676256336230382</v>
      </c>
      <c r="AO13" s="9"/>
      <c r="AP13" s="30"/>
      <c r="AQ13" s="9"/>
      <c r="AR13" s="9">
        <v>0.89418070496274626</v>
      </c>
      <c r="AS13" s="9">
        <v>4.6923110354271458</v>
      </c>
      <c r="AT13" s="9">
        <v>374.16654665193875</v>
      </c>
      <c r="AU13" s="9"/>
      <c r="AV13" s="9">
        <v>0.46477881748989336</v>
      </c>
    </row>
    <row r="14" spans="1:48" x14ac:dyDescent="0.3">
      <c r="A14" s="37">
        <v>1981</v>
      </c>
      <c r="B14" s="30">
        <v>1.157</v>
      </c>
      <c r="C14" s="9">
        <v>0.44302826756667274</v>
      </c>
      <c r="D14" s="9">
        <v>0.58925952832776785</v>
      </c>
      <c r="E14" s="9">
        <v>0.46858290475092423</v>
      </c>
      <c r="F14" s="9">
        <v>0.61036436688854856</v>
      </c>
      <c r="G14" s="18">
        <v>1</v>
      </c>
      <c r="H14" s="9">
        <v>19.8549906952512</v>
      </c>
      <c r="I14" s="9">
        <v>27.740561465606593</v>
      </c>
      <c r="J14" s="9">
        <v>11.07976361062661</v>
      </c>
      <c r="K14" s="9"/>
      <c r="L14" s="9">
        <v>3.6265225350172847</v>
      </c>
      <c r="M14" s="9"/>
      <c r="N14" s="9">
        <v>0.36949269640795901</v>
      </c>
      <c r="O14" s="9">
        <v>0.42179163274490999</v>
      </c>
      <c r="P14" s="9">
        <v>0.588277741525007</v>
      </c>
      <c r="Q14" s="9">
        <v>8.2783723485931382E-2</v>
      </c>
      <c r="R14" s="9">
        <v>17.46948568553708</v>
      </c>
      <c r="S14" s="9">
        <v>3.6778485344683864</v>
      </c>
      <c r="T14" s="9">
        <v>0.40162360225580529</v>
      </c>
      <c r="U14" s="9">
        <v>5.8193323141598526E-3</v>
      </c>
      <c r="V14" s="9">
        <v>0.29888894889074835</v>
      </c>
      <c r="W14" s="9">
        <v>112.2753056100313</v>
      </c>
      <c r="X14" s="9">
        <v>346.71310824450666</v>
      </c>
      <c r="Y14" s="9"/>
      <c r="Z14" s="9"/>
      <c r="AA14" s="9">
        <v>0.46858290475092423</v>
      </c>
      <c r="AB14" s="9">
        <v>1.2480439868707642E-2</v>
      </c>
      <c r="AC14" s="9">
        <v>0.57644250929976493</v>
      </c>
      <c r="AD14" s="9">
        <v>0.58689061496515038</v>
      </c>
      <c r="AE14" s="9">
        <v>2.9219970393280765</v>
      </c>
      <c r="AF14" s="9">
        <v>2.6041856706124026E-3</v>
      </c>
      <c r="AG14" s="9">
        <v>0.15629035344519071</v>
      </c>
      <c r="AH14" s="9"/>
      <c r="AI14" s="9"/>
      <c r="AJ14" s="9">
        <v>0.28248326208802055</v>
      </c>
      <c r="AK14" s="9">
        <v>2.5778099271220198</v>
      </c>
      <c r="AL14" s="9">
        <v>5.6621639415788084E-5</v>
      </c>
      <c r="AM14" s="9">
        <v>0.25335035956540353</v>
      </c>
      <c r="AN14" s="30">
        <v>0.5091023255192616</v>
      </c>
      <c r="AO14" s="9"/>
      <c r="AP14" s="30"/>
      <c r="AQ14" s="9"/>
      <c r="AR14" s="9">
        <v>0.86778612602022431</v>
      </c>
      <c r="AS14" s="9">
        <v>4.4080741017437157</v>
      </c>
      <c r="AT14" s="9">
        <v>321.62878816102386</v>
      </c>
      <c r="AU14" s="9"/>
      <c r="AV14" s="9">
        <v>0.44677748058491057</v>
      </c>
    </row>
    <row r="15" spans="1:48" x14ac:dyDescent="0.3">
      <c r="A15" s="37">
        <v>1982</v>
      </c>
      <c r="B15" s="30">
        <v>1.222</v>
      </c>
      <c r="C15" s="9">
        <v>0.48558093498587651</v>
      </c>
      <c r="D15" s="9">
        <v>0.61062863246468824</v>
      </c>
      <c r="E15" s="9">
        <v>0.55787515269169807</v>
      </c>
      <c r="F15" s="9">
        <v>0.60766886861321334</v>
      </c>
      <c r="G15" s="18">
        <v>1</v>
      </c>
      <c r="H15" s="9">
        <v>25.074599921842328</v>
      </c>
      <c r="I15" s="9">
        <v>31.565099980184002</v>
      </c>
      <c r="J15" s="9">
        <v>18.424433479523277</v>
      </c>
      <c r="K15" s="9"/>
      <c r="L15" s="9">
        <v>4.1040950954569011</v>
      </c>
      <c r="M15" s="9"/>
      <c r="N15" s="9">
        <v>0.3993231872980067</v>
      </c>
      <c r="O15" s="9">
        <v>0.49348496459770369</v>
      </c>
      <c r="P15" s="9">
        <v>0.61109781592964252</v>
      </c>
      <c r="Q15" s="9">
        <v>9.6562014726453552E-2</v>
      </c>
      <c r="R15" s="9">
        <v>18.042161783767572</v>
      </c>
      <c r="S15" s="9">
        <v>6.083675038271525</v>
      </c>
      <c r="T15" s="9">
        <v>0.4406342679178506</v>
      </c>
      <c r="U15" s="9">
        <v>1.19525680068161E-2</v>
      </c>
      <c r="V15" s="9">
        <v>0.34404852589029017</v>
      </c>
      <c r="W15" s="9">
        <v>122.68124602740573</v>
      </c>
      <c r="X15" s="9">
        <v>360.13224825706982</v>
      </c>
      <c r="Y15" s="9"/>
      <c r="Z15" s="9"/>
      <c r="AA15" s="9">
        <v>0.55787515269169807</v>
      </c>
      <c r="AB15" s="9">
        <v>2.7780325337560374E-2</v>
      </c>
      <c r="AC15" s="9">
        <v>0.59680965122301532</v>
      </c>
      <c r="AD15" s="9">
        <v>0.65636838996441516</v>
      </c>
      <c r="AE15" s="9">
        <v>3.1788961274937275</v>
      </c>
      <c r="AF15" s="9">
        <v>4.1779643991438666E-3</v>
      </c>
      <c r="AG15" s="9">
        <v>0.19525006000322459</v>
      </c>
      <c r="AH15" s="9"/>
      <c r="AI15" s="9"/>
      <c r="AJ15" s="9">
        <v>0.32521056986611208</v>
      </c>
      <c r="AK15" s="9">
        <v>3.094461752801926</v>
      </c>
      <c r="AL15" s="9">
        <v>8.0064728541401006E-5</v>
      </c>
      <c r="AM15" s="9">
        <v>0.28195531767459725</v>
      </c>
      <c r="AN15" s="30">
        <v>0.49254411370454759</v>
      </c>
      <c r="AO15" s="9"/>
      <c r="AP15" s="30"/>
      <c r="AQ15" s="9"/>
      <c r="AR15" s="9">
        <v>0.93216025744680564</v>
      </c>
      <c r="AS15" s="9">
        <v>4.6570695781386195</v>
      </c>
      <c r="AT15" s="9">
        <v>325.77889709417775</v>
      </c>
      <c r="AU15" s="9"/>
      <c r="AV15" s="9">
        <v>0.53481219715239381</v>
      </c>
    </row>
    <row r="16" spans="1:48" x14ac:dyDescent="0.3">
      <c r="A16" s="37">
        <v>1983</v>
      </c>
      <c r="B16" s="30">
        <v>1.258</v>
      </c>
      <c r="C16" s="9">
        <v>0.52879470560652408</v>
      </c>
      <c r="D16" s="9">
        <v>0.62189530400671578</v>
      </c>
      <c r="E16" s="9">
        <v>0.60382818768904234</v>
      </c>
      <c r="F16" s="9">
        <v>0.58710274181344158</v>
      </c>
      <c r="G16" s="18">
        <v>1</v>
      </c>
      <c r="H16" s="9">
        <v>37.533595096919342</v>
      </c>
      <c r="I16" s="9">
        <v>37.566545072519006</v>
      </c>
      <c r="J16" s="9">
        <v>19.576652369950512</v>
      </c>
      <c r="K16" s="9"/>
      <c r="L16" s="9">
        <v>4.3565385866811406</v>
      </c>
      <c r="M16" s="9"/>
      <c r="N16" s="9">
        <v>0.44628753800753956</v>
      </c>
      <c r="O16" s="9">
        <v>0.55349214561377913</v>
      </c>
      <c r="P16" s="9">
        <v>0.62190193128047588</v>
      </c>
      <c r="Q16" s="9">
        <v>0.12311813474606079</v>
      </c>
      <c r="R16" s="9">
        <v>20.327903873869356</v>
      </c>
      <c r="S16" s="9">
        <v>11.83472610309698</v>
      </c>
      <c r="T16" s="9">
        <v>0.48673713452350398</v>
      </c>
      <c r="U16" s="9">
        <v>2.6779751258921434E-2</v>
      </c>
      <c r="V16" s="9">
        <v>0.37368592754793589</v>
      </c>
      <c r="W16" s="9">
        <v>113.14704030765009</v>
      </c>
      <c r="X16" s="9">
        <v>369.55501669591547</v>
      </c>
      <c r="Y16" s="9"/>
      <c r="Z16" s="9"/>
      <c r="AA16" s="9">
        <v>0.60382818768904234</v>
      </c>
      <c r="AB16" s="9">
        <v>5.7210804440676902E-2</v>
      </c>
      <c r="AC16" s="9">
        <v>0.61698811467864834</v>
      </c>
      <c r="AD16" s="9">
        <v>0.71304064740125561</v>
      </c>
      <c r="AE16" s="9">
        <v>3.4758810159007298</v>
      </c>
      <c r="AF16" s="9">
        <v>4.3613064088726099E-3</v>
      </c>
      <c r="AG16" s="9">
        <v>0.26323496315385925</v>
      </c>
      <c r="AH16" s="9"/>
      <c r="AI16" s="9"/>
      <c r="AJ16" s="9">
        <v>0.4106588776438006</v>
      </c>
      <c r="AK16" s="9">
        <v>3.6524968549914218</v>
      </c>
      <c r="AL16" s="9">
        <v>1.074044153429953E-4</v>
      </c>
      <c r="AM16" s="9">
        <v>0.3142830201017523</v>
      </c>
      <c r="AN16" s="30">
        <v>0.47638518939249919</v>
      </c>
      <c r="AO16" s="9"/>
      <c r="AP16" s="30"/>
      <c r="AQ16" s="9"/>
      <c r="AR16" s="9">
        <v>0.94118230865603503</v>
      </c>
      <c r="AS16" s="9">
        <v>4.8109655526454791</v>
      </c>
      <c r="AT16" s="9">
        <v>433.16029983480405</v>
      </c>
      <c r="AU16" s="9"/>
      <c r="AV16" s="9">
        <v>0.53074073938308708</v>
      </c>
    </row>
    <row r="17" spans="1:48" x14ac:dyDescent="0.3">
      <c r="A17" s="37">
        <v>1984</v>
      </c>
      <c r="B17" s="30">
        <v>1.2949999999999999</v>
      </c>
      <c r="C17" s="9">
        <v>0.48496712301337563</v>
      </c>
      <c r="D17" s="9">
        <v>0.61885649634852935</v>
      </c>
      <c r="E17" s="9">
        <v>0.60962507489758244</v>
      </c>
      <c r="F17" s="9">
        <v>0.55116602000648951</v>
      </c>
      <c r="G17" s="18">
        <v>1</v>
      </c>
      <c r="H17" s="9">
        <v>41.910966734931172</v>
      </c>
      <c r="I17" s="9">
        <v>42.906845612438651</v>
      </c>
      <c r="J17" s="9">
        <v>18.952631918830075</v>
      </c>
      <c r="K17" s="9"/>
      <c r="L17" s="9">
        <v>4.4076542236700726</v>
      </c>
      <c r="M17" s="9"/>
      <c r="N17" s="9">
        <v>0.43018964465191173</v>
      </c>
      <c r="O17" s="9">
        <v>0.56699861971163401</v>
      </c>
      <c r="P17" s="9">
        <v>0.61927786095092285</v>
      </c>
      <c r="Q17" s="9">
        <v>0.14078053625567291</v>
      </c>
      <c r="R17" s="9">
        <v>20.446248080155396</v>
      </c>
      <c r="S17" s="9">
        <v>13.48851618572473</v>
      </c>
      <c r="T17" s="9">
        <v>0.49853582031266463</v>
      </c>
      <c r="U17" s="9">
        <v>0.12478688620287763</v>
      </c>
      <c r="V17" s="9">
        <v>0.38617737595732488</v>
      </c>
      <c r="W17" s="9">
        <v>101.08702593252006</v>
      </c>
      <c r="X17" s="9">
        <v>343.01253367681051</v>
      </c>
      <c r="Y17" s="9"/>
      <c r="Z17" s="9"/>
      <c r="AA17" s="9">
        <v>0.60962507489758244</v>
      </c>
      <c r="AB17" s="9">
        <v>7.1425617651334178E-2</v>
      </c>
      <c r="AC17" s="9">
        <v>0.61967372191384185</v>
      </c>
      <c r="AD17" s="9">
        <v>0.75073626923146974</v>
      </c>
      <c r="AE17" s="9">
        <v>3.4734290440499311</v>
      </c>
      <c r="AF17" s="9">
        <v>4.819372824292509E-3</v>
      </c>
      <c r="AG17" s="9">
        <v>0.31076183499800852</v>
      </c>
      <c r="AH17" s="9"/>
      <c r="AI17" s="9"/>
      <c r="AJ17" s="9">
        <v>0.4112013970671281</v>
      </c>
      <c r="AK17" s="9">
        <v>3.5203892728141519</v>
      </c>
      <c r="AL17" s="9">
        <v>1.5605414917373018E-4</v>
      </c>
      <c r="AM17" s="9">
        <v>0.31996084567848782</v>
      </c>
      <c r="AN17" s="30">
        <v>0.42558926389206891</v>
      </c>
      <c r="AO17" s="9"/>
      <c r="AP17" s="30"/>
      <c r="AQ17" s="9"/>
      <c r="AR17" s="9">
        <v>0.9873848249382664</v>
      </c>
      <c r="AS17" s="9">
        <v>4.8357934764618697</v>
      </c>
      <c r="AT17" s="9">
        <v>436.63110641142435</v>
      </c>
      <c r="AU17" s="9"/>
      <c r="AV17" s="9">
        <v>0.62786226515513432</v>
      </c>
    </row>
    <row r="18" spans="1:48" x14ac:dyDescent="0.3">
      <c r="A18" s="37">
        <v>1985</v>
      </c>
      <c r="B18" s="30">
        <v>1.339</v>
      </c>
      <c r="C18" s="9">
        <v>0.58275220003052353</v>
      </c>
      <c r="D18" s="9">
        <v>0.61192027369540425</v>
      </c>
      <c r="E18" s="9">
        <v>0.59905058611122342</v>
      </c>
      <c r="F18" s="9">
        <v>0.55573379118549526</v>
      </c>
      <c r="G18" s="18">
        <v>1</v>
      </c>
      <c r="H18" s="9">
        <v>65.466754845567891</v>
      </c>
      <c r="I18" s="9">
        <v>57.917959675094274</v>
      </c>
      <c r="J18" s="9">
        <v>20.533489342219056</v>
      </c>
      <c r="K18" s="9"/>
      <c r="L18" s="9">
        <v>4.3125163214800226</v>
      </c>
      <c r="M18" s="9"/>
      <c r="N18" s="9">
        <v>0.42424021920119659</v>
      </c>
      <c r="O18" s="9">
        <v>0.55747620526790453</v>
      </c>
      <c r="P18" s="9">
        <v>0.61259653257109425</v>
      </c>
      <c r="Q18" s="9">
        <v>0.16496452930248237</v>
      </c>
      <c r="R18" s="9">
        <v>20.39757847077377</v>
      </c>
      <c r="S18" s="9">
        <v>16.892777806040229</v>
      </c>
      <c r="T18" s="9">
        <v>0.48865376117535736</v>
      </c>
      <c r="U18" s="9">
        <v>0.47976775025055296</v>
      </c>
      <c r="V18" s="9">
        <v>0.40134019678091387</v>
      </c>
      <c r="W18" s="9">
        <v>97.079242339217586</v>
      </c>
      <c r="X18" s="9">
        <v>354.08048023604823</v>
      </c>
      <c r="Y18" s="9"/>
      <c r="Z18" s="9"/>
      <c r="AA18" s="9">
        <v>0.59905058611122342</v>
      </c>
      <c r="AB18" s="9">
        <v>0.10454152040826821</v>
      </c>
      <c r="AC18" s="9">
        <v>0.61339395013350562</v>
      </c>
      <c r="AD18" s="9">
        <v>0.82347153672143669</v>
      </c>
      <c r="AE18" s="9">
        <v>3.4988994589544005</v>
      </c>
      <c r="AF18" s="9">
        <v>5.9883671635073505E-3</v>
      </c>
      <c r="AG18" s="9">
        <v>0.34590222884413407</v>
      </c>
      <c r="AH18" s="9"/>
      <c r="AI18" s="9"/>
      <c r="AJ18" s="9">
        <v>0.41592736373639111</v>
      </c>
      <c r="AK18" s="9">
        <v>3.501622831425613</v>
      </c>
      <c r="AL18" s="9">
        <v>2.1243651964511368E-4</v>
      </c>
      <c r="AM18" s="9">
        <v>0.31713730467517931</v>
      </c>
      <c r="AN18" s="30">
        <v>0.40697970188736837</v>
      </c>
      <c r="AO18" s="9"/>
      <c r="AP18" s="30"/>
      <c r="AQ18" s="9"/>
      <c r="AR18" s="9">
        <v>1.1951603330111411</v>
      </c>
      <c r="AS18" s="9">
        <v>5.0338301875497997</v>
      </c>
      <c r="AT18" s="9">
        <v>451.98351732193521</v>
      </c>
      <c r="AU18" s="9"/>
      <c r="AV18" s="9">
        <v>0.90702548686642315</v>
      </c>
    </row>
    <row r="19" spans="1:48" x14ac:dyDescent="0.3">
      <c r="A19" s="37">
        <v>1986</v>
      </c>
      <c r="B19" s="30">
        <v>1.349</v>
      </c>
      <c r="C19" s="9">
        <v>0.83159725754681579</v>
      </c>
      <c r="D19" s="9">
        <v>0.61676333852117882</v>
      </c>
      <c r="E19" s="9">
        <v>0.61558598500406969</v>
      </c>
      <c r="F19" s="9">
        <v>0.77239323257259951</v>
      </c>
      <c r="G19" s="18">
        <v>1</v>
      </c>
      <c r="H19" s="9">
        <v>107.24788067867178</v>
      </c>
      <c r="I19" s="9">
        <v>107.98767777903235</v>
      </c>
      <c r="J19" s="9">
        <v>31.122003986762554</v>
      </c>
      <c r="K19" s="9"/>
      <c r="L19" s="9">
        <v>4.4977023212116256</v>
      </c>
      <c r="M19" s="9"/>
      <c r="N19" s="9">
        <v>0.4739697356932342</v>
      </c>
      <c r="O19" s="9">
        <v>0.58695096195527408</v>
      </c>
      <c r="P19" s="9">
        <v>0.61718356332678403</v>
      </c>
      <c r="Q19" s="9">
        <v>0.22836140105852593</v>
      </c>
      <c r="R19" s="9">
        <v>25.477639322321547</v>
      </c>
      <c r="S19" s="9">
        <v>22.849395471612471</v>
      </c>
      <c r="T19" s="9">
        <v>0.52452587679737528</v>
      </c>
      <c r="U19" s="9">
        <v>0.82707648124584765</v>
      </c>
      <c r="V19" s="9">
        <v>0.42800154341165642</v>
      </c>
      <c r="W19" s="9">
        <v>93.678510223020936</v>
      </c>
      <c r="X19" s="9">
        <v>489.99258817714275</v>
      </c>
      <c r="Y19" s="9"/>
      <c r="Z19" s="9"/>
      <c r="AA19" s="9">
        <v>0.61558598500406969</v>
      </c>
      <c r="AB19" s="9">
        <v>0.3400783342139323</v>
      </c>
      <c r="AC19" s="9">
        <v>0.61802355528314301</v>
      </c>
      <c r="AD19" s="9">
        <v>1.0635072033690172</v>
      </c>
      <c r="AE19" s="9">
        <v>4.1106638258313453</v>
      </c>
      <c r="AF19" s="9">
        <v>9.744012601078985E-3</v>
      </c>
      <c r="AG19" s="9">
        <v>0.41476938714685313</v>
      </c>
      <c r="AH19" s="9"/>
      <c r="AI19" s="9"/>
      <c r="AJ19" s="9">
        <v>0.46789698715611627</v>
      </c>
      <c r="AK19" s="9">
        <v>3.9599295876184657</v>
      </c>
      <c r="AL19" s="9">
        <v>3.749544170449765E-4</v>
      </c>
      <c r="AM19" s="9">
        <v>0.37922675687953161</v>
      </c>
      <c r="AN19" s="30">
        <v>0.55589011910463615</v>
      </c>
      <c r="AO19" s="9"/>
      <c r="AP19" s="30"/>
      <c r="AQ19" s="9"/>
      <c r="AR19" s="9">
        <v>1.9193727707805022</v>
      </c>
      <c r="AS19" s="9">
        <v>7.0102376436290577</v>
      </c>
      <c r="AT19" s="9">
        <v>712.96243115870311</v>
      </c>
      <c r="AU19" s="9"/>
      <c r="AV19" s="9">
        <v>1.2702265252022225</v>
      </c>
    </row>
    <row r="20" spans="1:48" x14ac:dyDescent="0.3">
      <c r="A20" s="37">
        <v>1987</v>
      </c>
      <c r="B20" s="30">
        <v>1.369</v>
      </c>
      <c r="C20" s="9">
        <v>0.95774408610563566</v>
      </c>
      <c r="D20" s="9">
        <v>0.61612891656035951</v>
      </c>
      <c r="E20" s="9">
        <v>0.62063634867044015</v>
      </c>
      <c r="F20" s="9">
        <v>0.88921002665653248</v>
      </c>
      <c r="G20" s="18">
        <v>1</v>
      </c>
      <c r="H20" s="9">
        <v>147.13512123972461</v>
      </c>
      <c r="I20" s="9">
        <v>162.69314809743912</v>
      </c>
      <c r="J20" s="9">
        <v>42.09800886315773</v>
      </c>
      <c r="K20" s="9"/>
      <c r="L20" s="9">
        <v>4.5871478627272531</v>
      </c>
      <c r="M20" s="9"/>
      <c r="N20" s="9">
        <v>0.49576521885301711</v>
      </c>
      <c r="O20" s="9">
        <v>0.61449282396118299</v>
      </c>
      <c r="P20" s="9">
        <v>0.61628011142972594</v>
      </c>
      <c r="Q20" s="9">
        <v>0.26652867638915839</v>
      </c>
      <c r="R20" s="9">
        <v>31.49866158497408</v>
      </c>
      <c r="S20" s="9">
        <v>25.937097287963301</v>
      </c>
      <c r="T20" s="9">
        <v>0.57298329542455939</v>
      </c>
      <c r="U20" s="9">
        <v>1.0693740464840762</v>
      </c>
      <c r="V20" s="9">
        <v>0.44887877807094817</v>
      </c>
      <c r="W20" s="9">
        <v>96.994573691064062</v>
      </c>
      <c r="X20" s="9">
        <v>551.6153188445503</v>
      </c>
      <c r="Y20" s="9"/>
      <c r="Z20" s="9"/>
      <c r="AA20" s="9">
        <v>0.62063634867044015</v>
      </c>
      <c r="AB20" s="9">
        <v>0.92421553232035203</v>
      </c>
      <c r="AC20" s="9">
        <v>0.61643489853224642</v>
      </c>
      <c r="AD20" s="9">
        <v>1.1363802998720292</v>
      </c>
      <c r="AE20" s="9">
        <v>4.5181650022633102</v>
      </c>
      <c r="AF20" s="9">
        <v>1.7776554545302213E-2</v>
      </c>
      <c r="AG20" s="9">
        <v>0.47124628401580937</v>
      </c>
      <c r="AH20" s="9"/>
      <c r="AI20" s="9"/>
      <c r="AJ20" s="9">
        <v>0.49766890884227222</v>
      </c>
      <c r="AK20" s="9">
        <v>4.2519293853350089</v>
      </c>
      <c r="AL20" s="9">
        <v>5.7485176844045561E-4</v>
      </c>
      <c r="AM20" s="9">
        <v>0.41036072939427826</v>
      </c>
      <c r="AN20" s="30">
        <v>0.67060460593597138</v>
      </c>
      <c r="AO20" s="9"/>
      <c r="AP20" s="30"/>
      <c r="AQ20" s="9"/>
      <c r="AR20" s="9">
        <v>2.4960574037542793</v>
      </c>
      <c r="AS20" s="9">
        <v>8.6920415998390936</v>
      </c>
      <c r="AT20" s="9">
        <v>1102.3722637935011</v>
      </c>
      <c r="AU20" s="9"/>
      <c r="AV20" s="9">
        <v>1.3653733311725</v>
      </c>
    </row>
    <row r="21" spans="1:48" x14ac:dyDescent="0.3">
      <c r="A21" s="37">
        <v>1988</v>
      </c>
      <c r="B21" s="30">
        <v>1.395</v>
      </c>
      <c r="C21" s="9">
        <v>0.87467254379370607</v>
      </c>
      <c r="D21" s="9">
        <v>0.61323032326021876</v>
      </c>
      <c r="E21" s="9">
        <v>0.62288196200624479</v>
      </c>
      <c r="F21" s="9">
        <v>0.84104479373105989</v>
      </c>
      <c r="G21" s="18">
        <v>1</v>
      </c>
      <c r="H21" s="9">
        <v>167.4377548463514</v>
      </c>
      <c r="I21" s="9">
        <v>204.4511264493494</v>
      </c>
      <c r="J21" s="9">
        <v>51.803959087906307</v>
      </c>
      <c r="K21" s="9"/>
      <c r="L21" s="9">
        <v>4.6002357684685231</v>
      </c>
      <c r="M21" s="9"/>
      <c r="N21" s="9">
        <v>0.4807640709816326</v>
      </c>
      <c r="O21" s="9">
        <v>0.62060404758006904</v>
      </c>
      <c r="P21" s="9">
        <v>0.61364285112678807</v>
      </c>
      <c r="Q21" s="9">
        <v>0.28450653677335813</v>
      </c>
      <c r="R21" s="9">
        <v>34.451724412856763</v>
      </c>
      <c r="S21" s="9">
        <v>29.395191234424452</v>
      </c>
      <c r="T21" s="9">
        <v>0.56963150550209041</v>
      </c>
      <c r="U21" s="9">
        <v>1.0926900384974578</v>
      </c>
      <c r="V21" s="9">
        <v>0.4593962293580271</v>
      </c>
      <c r="W21" s="9">
        <v>87.577165766873492</v>
      </c>
      <c r="X21" s="9">
        <v>499.87243445180962</v>
      </c>
      <c r="Y21" s="9"/>
      <c r="Z21" s="9"/>
      <c r="AA21" s="9">
        <v>0.62288196200624479</v>
      </c>
      <c r="AB21" s="9">
        <v>1.5534101004578693</v>
      </c>
      <c r="AC21" s="9">
        <v>0.6129531962824889</v>
      </c>
      <c r="AD21" s="9">
        <v>1.0431222806897629</v>
      </c>
      <c r="AE21" s="9">
        <v>4.453620811408002</v>
      </c>
      <c r="AF21" s="9">
        <v>2.9422936741155606E-2</v>
      </c>
      <c r="AG21" s="9">
        <v>0.49069849592048859</v>
      </c>
      <c r="AH21" s="9"/>
      <c r="AI21" s="9"/>
      <c r="AJ21" s="9">
        <v>0.47843912276819106</v>
      </c>
      <c r="AK21" s="9">
        <v>4.1872138317501539</v>
      </c>
      <c r="AL21" s="9">
        <v>9.7201246042028292E-4</v>
      </c>
      <c r="AM21" s="9">
        <v>0.38417970796601242</v>
      </c>
      <c r="AN21" s="30">
        <v>0.68338686530444881</v>
      </c>
      <c r="AO21" s="9"/>
      <c r="AP21" s="30"/>
      <c r="AQ21" s="9"/>
      <c r="AR21" s="9">
        <v>2.543634251349689</v>
      </c>
      <c r="AS21" s="9">
        <v>9.5107519533474338</v>
      </c>
      <c r="AT21" s="9">
        <v>1151.988086288977</v>
      </c>
      <c r="AU21" s="9"/>
      <c r="AV21" s="9">
        <v>1.5536578281965421</v>
      </c>
    </row>
    <row r="22" spans="1:48" x14ac:dyDescent="0.3">
      <c r="A22" s="37">
        <v>1989</v>
      </c>
      <c r="B22" s="30">
        <v>1.4390000000000001</v>
      </c>
      <c r="C22" s="9">
        <v>0.77301628538390199</v>
      </c>
      <c r="D22" s="9">
        <v>0.58774702055222461</v>
      </c>
      <c r="E22" s="9">
        <v>0.59709317054050337</v>
      </c>
      <c r="F22" s="9">
        <v>0.72373249639602066</v>
      </c>
      <c r="G22" s="18">
        <v>1</v>
      </c>
      <c r="H22" s="9">
        <v>163.18239935612331</v>
      </c>
      <c r="I22" s="9">
        <v>233.85342645088616</v>
      </c>
      <c r="J22" s="9">
        <v>49.821482239915213</v>
      </c>
      <c r="K22" s="9"/>
      <c r="L22" s="9">
        <v>4.4685269801488454</v>
      </c>
      <c r="M22" s="9"/>
      <c r="N22" s="9">
        <v>0.44117590537899842</v>
      </c>
      <c r="O22" s="9">
        <v>0.59455435115838873</v>
      </c>
      <c r="P22" s="9">
        <v>0.58758808654264472</v>
      </c>
      <c r="Q22" s="9">
        <v>0.29136079700269507</v>
      </c>
      <c r="R22" s="9">
        <v>36.105776039040052</v>
      </c>
      <c r="S22" s="9">
        <v>34.868219305082199</v>
      </c>
      <c r="T22" s="9">
        <v>0.54761387980206055</v>
      </c>
      <c r="U22" s="9">
        <v>1.1714575342186591</v>
      </c>
      <c r="V22" s="9">
        <v>0.43316598755730795</v>
      </c>
      <c r="W22" s="9">
        <v>84.334194212244455</v>
      </c>
      <c r="X22" s="9">
        <v>410.44414220293288</v>
      </c>
      <c r="Y22" s="9"/>
      <c r="Z22" s="9"/>
      <c r="AA22" s="9">
        <v>0.59709317054050337</v>
      </c>
      <c r="AB22" s="9">
        <v>1.5046365206228893</v>
      </c>
      <c r="AC22" s="9">
        <v>0.58825968245516203</v>
      </c>
      <c r="AD22" s="9">
        <v>1.0221424168793374</v>
      </c>
      <c r="AE22" s="9">
        <v>4.220548008007702</v>
      </c>
      <c r="AF22" s="9">
        <v>8.7973725364344932E-2</v>
      </c>
      <c r="AG22" s="9">
        <v>0.48009440515926949</v>
      </c>
      <c r="AH22" s="9"/>
      <c r="AI22" s="9"/>
      <c r="AJ22" s="9">
        <v>0.43490019747467334</v>
      </c>
      <c r="AK22" s="9">
        <v>3.9408138107390802</v>
      </c>
      <c r="AL22" s="9">
        <v>1.2969293620838363E-3</v>
      </c>
      <c r="AM22" s="9">
        <v>0.37359460244204351</v>
      </c>
      <c r="AN22" s="30">
        <v>0.61127496676192361</v>
      </c>
      <c r="AO22" s="9"/>
      <c r="AP22" s="30"/>
      <c r="AQ22" s="9"/>
      <c r="AR22" s="9">
        <v>2.3015164713133731</v>
      </c>
      <c r="AS22" s="9">
        <v>9.9182419731955918</v>
      </c>
      <c r="AT22" s="9">
        <v>1081.992858270801</v>
      </c>
      <c r="AU22" s="9"/>
      <c r="AV22" s="9">
        <v>1.6031771016397449</v>
      </c>
    </row>
    <row r="23" spans="1:48" x14ac:dyDescent="0.3">
      <c r="A23" s="37">
        <v>1990</v>
      </c>
      <c r="B23" s="30">
        <v>1.516</v>
      </c>
      <c r="C23" s="9">
        <v>0.92218189671203532</v>
      </c>
      <c r="D23" s="9">
        <v>0.59480477676497356</v>
      </c>
      <c r="E23" s="9">
        <v>0.59633844136402092</v>
      </c>
      <c r="F23" s="9">
        <v>0.83991406787083023</v>
      </c>
      <c r="G23" s="18">
        <v>1</v>
      </c>
      <c r="H23" s="9">
        <v>219.48781936304388</v>
      </c>
      <c r="I23" s="9">
        <v>361.55705793076231</v>
      </c>
      <c r="J23" s="9">
        <v>65.924300685667092</v>
      </c>
      <c r="K23" s="9">
        <v>15.221447039274418</v>
      </c>
      <c r="L23" s="9">
        <v>4.4548977498365403</v>
      </c>
      <c r="M23" s="9"/>
      <c r="N23" s="9">
        <v>0.46291870576204175</v>
      </c>
      <c r="O23" s="9">
        <v>0.59757538245876118</v>
      </c>
      <c r="P23" s="9">
        <v>0.59468479271844732</v>
      </c>
      <c r="Q23" s="9">
        <v>0.33487273094845116</v>
      </c>
      <c r="R23" s="9">
        <v>45.499397116959372</v>
      </c>
      <c r="S23" s="9">
        <v>41.956178501370836</v>
      </c>
      <c r="T23" s="9">
        <v>0.55261434941352006</v>
      </c>
      <c r="U23" s="9">
        <v>1.4513644352995554</v>
      </c>
      <c r="V23" s="9">
        <v>0.44542645479141363</v>
      </c>
      <c r="W23" s="9">
        <v>104.2303793064148</v>
      </c>
      <c r="X23" s="9">
        <v>509.49255844366297</v>
      </c>
      <c r="Y23" s="9"/>
      <c r="Z23" s="9"/>
      <c r="AA23" s="9">
        <v>0.59633844136402092</v>
      </c>
      <c r="AB23" s="9">
        <v>2.0246786123492044</v>
      </c>
      <c r="AC23" s="9">
        <v>0.59482586193381437</v>
      </c>
      <c r="AD23" s="9">
        <v>1.2066323133312142</v>
      </c>
      <c r="AE23" s="9">
        <v>4.5061398088770837</v>
      </c>
      <c r="AF23" s="9">
        <v>0.68386732973803244</v>
      </c>
      <c r="AG23" s="9">
        <v>0.51186396691328007</v>
      </c>
      <c r="AH23" s="9"/>
      <c r="AI23" s="9"/>
      <c r="AJ23" s="9">
        <v>0.44101177161649258</v>
      </c>
      <c r="AK23" s="9">
        <v>4.2607022237685994</v>
      </c>
      <c r="AL23" s="9">
        <v>1.8778576956072967E-3</v>
      </c>
      <c r="AM23" s="9">
        <v>0.40540891067133022</v>
      </c>
      <c r="AN23" s="30">
        <v>0.71986034709266578</v>
      </c>
      <c r="AO23" s="9"/>
      <c r="AP23" s="30"/>
      <c r="AQ23" s="9"/>
      <c r="AR23" s="9">
        <v>3.4432420110498625</v>
      </c>
      <c r="AS23" s="9">
        <v>12.600075585336475</v>
      </c>
      <c r="AT23" s="9">
        <v>1326.5682457603234</v>
      </c>
      <c r="AU23" s="9"/>
      <c r="AV23" s="9">
        <v>1.8625096731234161</v>
      </c>
    </row>
    <row r="24" spans="1:48" x14ac:dyDescent="0.3">
      <c r="A24" s="37">
        <v>1991</v>
      </c>
      <c r="B24" s="30">
        <v>1.605</v>
      </c>
      <c r="C24" s="9">
        <v>0.89523242231765843</v>
      </c>
      <c r="D24" s="9">
        <v>0.59172028359608464</v>
      </c>
      <c r="E24" s="9">
        <v>0.5903193340736157</v>
      </c>
      <c r="F24" s="9">
        <v>0.79897664038028959</v>
      </c>
      <c r="G24" s="18">
        <v>1</v>
      </c>
      <c r="H24" s="9">
        <v>243.52710092457627</v>
      </c>
      <c r="I24" s="9">
        <v>437.34738114470889</v>
      </c>
      <c r="J24" s="9">
        <v>85.378750457638589</v>
      </c>
      <c r="K24" s="9">
        <v>19.470127092788871</v>
      </c>
      <c r="L24" s="9">
        <v>4.4605965864515902</v>
      </c>
      <c r="M24" s="9"/>
      <c r="N24" s="9">
        <v>0.4743043397708403</v>
      </c>
      <c r="O24" s="9">
        <v>0.59981878623573037</v>
      </c>
      <c r="P24" s="9">
        <v>0.59171207225066136</v>
      </c>
      <c r="Q24" s="9">
        <v>0.37301316803351992</v>
      </c>
      <c r="R24" s="9">
        <v>52.117027644279887</v>
      </c>
      <c r="S24" s="9">
        <v>41.141342058008391</v>
      </c>
      <c r="T24" s="9">
        <v>0.55013227211886939</v>
      </c>
      <c r="U24" s="9">
        <v>1.5893455912691317</v>
      </c>
      <c r="V24" s="9">
        <v>0.44681104499845259</v>
      </c>
      <c r="W24" s="9">
        <v>93.938249292476101</v>
      </c>
      <c r="X24" s="9">
        <v>511.390117329833</v>
      </c>
      <c r="Y24" s="9"/>
      <c r="Z24" s="9"/>
      <c r="AA24" s="9">
        <v>0.5903193340736157</v>
      </c>
      <c r="AB24" s="9">
        <v>2.1049146031764581</v>
      </c>
      <c r="AC24" s="9">
        <v>0.59164761116687226</v>
      </c>
      <c r="AD24" s="9">
        <v>1.2088732500770005</v>
      </c>
      <c r="AE24" s="9">
        <v>4.5209066765846133</v>
      </c>
      <c r="AF24" s="9">
        <v>0.73752578757431297</v>
      </c>
      <c r="AG24" s="9">
        <v>0.50256441121244522</v>
      </c>
      <c r="AH24" s="9"/>
      <c r="AI24" s="9">
        <v>8.0232390147527047E-2</v>
      </c>
      <c r="AJ24" s="9">
        <v>0.43551242884268848</v>
      </c>
      <c r="AK24" s="9">
        <v>4.217225809076079</v>
      </c>
      <c r="AL24" s="9">
        <v>2.9092329685781672E-3</v>
      </c>
      <c r="AM24" s="9">
        <v>0.39541048007020196</v>
      </c>
      <c r="AN24" s="30">
        <v>0.69735412223455839</v>
      </c>
      <c r="AO24" s="9"/>
      <c r="AP24" s="30"/>
      <c r="AQ24" s="9"/>
      <c r="AR24" s="9">
        <v>3.7122891230190911</v>
      </c>
      <c r="AS24" s="9">
        <v>15.859529634644604</v>
      </c>
      <c r="AT24" s="9">
        <v>1360.0619482911984</v>
      </c>
      <c r="AU24" s="9"/>
      <c r="AV24" s="9">
        <v>1.9256143980381197</v>
      </c>
    </row>
    <row r="25" spans="1:48" x14ac:dyDescent="0.3">
      <c r="A25" s="37">
        <v>1992</v>
      </c>
      <c r="B25" s="30">
        <v>1.67</v>
      </c>
      <c r="C25" s="9">
        <v>0.96830506405477568</v>
      </c>
      <c r="D25" s="9">
        <v>0.56792461029546093</v>
      </c>
      <c r="E25" s="9">
        <v>0.56674363331658628</v>
      </c>
      <c r="F25" s="9">
        <v>0.85955565458659422</v>
      </c>
      <c r="G25" s="18">
        <v>1</v>
      </c>
      <c r="H25" s="9">
        <v>257.83750982244379</v>
      </c>
      <c r="I25" s="9">
        <v>483.84082130442141</v>
      </c>
      <c r="J25" s="9">
        <v>95.651102069261398</v>
      </c>
      <c r="K25" s="9">
        <v>20.174676526049229</v>
      </c>
      <c r="L25" s="9">
        <v>4.2924581412796341</v>
      </c>
      <c r="M25" s="9"/>
      <c r="N25" s="9">
        <v>0.53575444683821227</v>
      </c>
      <c r="O25" s="9">
        <v>0.57390591638390265</v>
      </c>
      <c r="P25" s="9">
        <v>0.56780582882701491</v>
      </c>
      <c r="Q25" s="9">
        <v>0.39782266996108612</v>
      </c>
      <c r="R25" s="9">
        <v>56.170787845889357</v>
      </c>
      <c r="S25" s="9">
        <v>40.922474106083648</v>
      </c>
      <c r="T25" s="9">
        <v>0.53067969879224475</v>
      </c>
      <c r="U25" s="9">
        <v>1.7487208600845547</v>
      </c>
      <c r="V25" s="9">
        <v>0.45262138888090692</v>
      </c>
      <c r="W25" s="9">
        <v>90.065198505210759</v>
      </c>
      <c r="X25" s="9">
        <v>555.15620499898773</v>
      </c>
      <c r="Y25" s="9">
        <v>0.74518844949686514</v>
      </c>
      <c r="Z25" s="9">
        <v>0.36510965309497706</v>
      </c>
      <c r="AA25" s="9">
        <v>0.56674363331658628</v>
      </c>
      <c r="AB25" s="9">
        <v>2.2008661528378148</v>
      </c>
      <c r="AC25" s="9">
        <v>0.56744903249535805</v>
      </c>
      <c r="AD25" s="9">
        <v>1.3239705545961908</v>
      </c>
      <c r="AE25" s="9">
        <v>4.4193001086839363</v>
      </c>
      <c r="AF25" s="9">
        <v>0.96901263554379302</v>
      </c>
      <c r="AG25" s="9">
        <v>0.47884907897478196</v>
      </c>
      <c r="AH25" s="9"/>
      <c r="AI25" s="9">
        <v>0.24121759578779789</v>
      </c>
      <c r="AJ25" s="9">
        <v>0.43756411689779734</v>
      </c>
      <c r="AK25" s="9">
        <v>4.1414858527184686</v>
      </c>
      <c r="AL25" s="9">
        <v>4.8871666443449507E-3</v>
      </c>
      <c r="AM25" s="9">
        <v>0.40518186483606794</v>
      </c>
      <c r="AN25" s="30">
        <v>0.71112712464043804</v>
      </c>
      <c r="AO25" s="9"/>
      <c r="AP25" s="30"/>
      <c r="AQ25" s="9"/>
      <c r="AR25" s="9">
        <v>3.9215757154827826</v>
      </c>
      <c r="AS25" s="9">
        <v>18.431052077024567</v>
      </c>
      <c r="AT25" s="9">
        <v>1443.5317654560527</v>
      </c>
      <c r="AU25" s="9"/>
      <c r="AV25" s="9">
        <v>2.0281446337754572</v>
      </c>
    </row>
    <row r="26" spans="1:48" x14ac:dyDescent="0.3">
      <c r="A26" s="37">
        <v>1993</v>
      </c>
      <c r="B26" s="30">
        <v>1.7250000000000001</v>
      </c>
      <c r="C26" s="9">
        <v>0.99522429137011637</v>
      </c>
      <c r="D26" s="9">
        <v>0.57209944155528647</v>
      </c>
      <c r="E26" s="9">
        <v>0.58041125873416688</v>
      </c>
      <c r="F26" s="9">
        <v>0.87308698579920319</v>
      </c>
      <c r="G26" s="18">
        <v>1</v>
      </c>
      <c r="H26" s="9">
        <v>273.52549714066674</v>
      </c>
      <c r="I26" s="9">
        <v>532.17230449936471</v>
      </c>
      <c r="J26" s="9">
        <v>96.216880787755045</v>
      </c>
      <c r="K26" s="9">
        <v>19.729632177944282</v>
      </c>
      <c r="L26" s="9">
        <v>4.3881064100973575</v>
      </c>
      <c r="M26" s="9">
        <v>0.5719262443079135</v>
      </c>
      <c r="N26" s="9">
        <v>0.65019467662567454</v>
      </c>
      <c r="O26" s="9">
        <v>0.58428810892953109</v>
      </c>
      <c r="P26" s="9">
        <v>0.5720898648245949</v>
      </c>
      <c r="Q26" s="9">
        <v>0.45531441703937786</v>
      </c>
      <c r="R26" s="9">
        <v>62.217207891086133</v>
      </c>
      <c r="S26" s="9">
        <v>45.751501855465612</v>
      </c>
      <c r="T26" s="9">
        <v>0.58197044785934537</v>
      </c>
      <c r="U26" s="9">
        <v>1.9153027961695137</v>
      </c>
      <c r="V26" s="9">
        <v>0.55002803638853681</v>
      </c>
      <c r="W26" s="9">
        <v>75.254826466043411</v>
      </c>
      <c r="X26" s="9">
        <v>543.13026608164273</v>
      </c>
      <c r="Y26" s="9">
        <v>0.65031261791897699</v>
      </c>
      <c r="Z26" s="9">
        <v>0.85145743920063333</v>
      </c>
      <c r="AA26" s="9">
        <v>0.58041125873416688</v>
      </c>
      <c r="AB26" s="9">
        <v>2.1085419087043373</v>
      </c>
      <c r="AC26" s="9">
        <v>0.57038361767847112</v>
      </c>
      <c r="AD26" s="9">
        <v>1.2523636035507664</v>
      </c>
      <c r="AE26" s="9">
        <v>4.8010619578826432</v>
      </c>
      <c r="AF26" s="9">
        <v>1.2259584691564129</v>
      </c>
      <c r="AG26" s="9">
        <v>0.54281192376341003</v>
      </c>
      <c r="AH26" s="9">
        <v>0.6912232895013577</v>
      </c>
      <c r="AI26" s="9">
        <v>0.31980554647500059</v>
      </c>
      <c r="AJ26" s="9">
        <v>0.51762444584583855</v>
      </c>
      <c r="AK26" s="9">
        <v>5.2675547334108046</v>
      </c>
      <c r="AL26" s="9">
        <v>7.4340176184619711E-3</v>
      </c>
      <c r="AM26" s="9">
        <v>0.45123784021566443</v>
      </c>
      <c r="AN26" s="30">
        <v>0.67676551202951007</v>
      </c>
      <c r="AO26" s="9"/>
      <c r="AP26" s="30"/>
      <c r="AQ26" s="9">
        <v>2.5904290192544192E-2</v>
      </c>
      <c r="AR26" s="9">
        <v>3.8994946817510332</v>
      </c>
      <c r="AS26" s="9">
        <v>20.636808148256815</v>
      </c>
      <c r="AT26" s="9">
        <v>1412.4799169834325</v>
      </c>
      <c r="AU26" s="9">
        <v>0.67112579942926376</v>
      </c>
      <c r="AV26" s="9">
        <v>2.211494805824703</v>
      </c>
    </row>
    <row r="27" spans="1:48" x14ac:dyDescent="0.3">
      <c r="A27" s="37">
        <v>1994</v>
      </c>
      <c r="B27" s="30">
        <v>1.74</v>
      </c>
      <c r="C27" s="9">
        <v>1.0000426509126357</v>
      </c>
      <c r="D27" s="9">
        <v>0.606902785577348</v>
      </c>
      <c r="E27" s="9">
        <v>0.60639720491573001</v>
      </c>
      <c r="F27" s="9">
        <v>0.99852375259789761</v>
      </c>
      <c r="G27" s="18">
        <v>1</v>
      </c>
      <c r="H27" s="9">
        <v>307.2157423299945</v>
      </c>
      <c r="I27" s="9">
        <v>604.3317485472794</v>
      </c>
      <c r="J27" s="9">
        <v>114.84062877193961</v>
      </c>
      <c r="K27" s="9">
        <v>21.046458420539192</v>
      </c>
      <c r="L27" s="9">
        <v>4.6505714308345336</v>
      </c>
      <c r="M27" s="9">
        <v>0.60707520444625673</v>
      </c>
      <c r="N27" s="9">
        <v>0.64234594853798199</v>
      </c>
      <c r="O27" s="9">
        <v>0.61885533766389589</v>
      </c>
      <c r="P27" s="9">
        <v>0.60665791635857547</v>
      </c>
      <c r="Q27" s="9">
        <v>0.52056085902734206</v>
      </c>
      <c r="R27" s="9">
        <v>76.88896322333639</v>
      </c>
      <c r="S27" s="9">
        <v>51.140426911263539</v>
      </c>
      <c r="T27" s="9">
        <v>0.62074081783294488</v>
      </c>
      <c r="U27" s="9">
        <v>2.2015586166724832</v>
      </c>
      <c r="V27" s="9">
        <v>0.60887833781696543</v>
      </c>
      <c r="W27" s="9">
        <v>74.730106243423137</v>
      </c>
      <c r="X27" s="9">
        <v>587.68448804586262</v>
      </c>
      <c r="Y27" s="9">
        <v>0.58233301418391192</v>
      </c>
      <c r="Z27" s="9">
        <v>0.84232093744047731</v>
      </c>
      <c r="AA27" s="9">
        <v>0.60639720491573001</v>
      </c>
      <c r="AB27" s="9">
        <v>2.4677452473174051</v>
      </c>
      <c r="AC27" s="9">
        <v>0.60384754774774962</v>
      </c>
      <c r="AD27" s="9">
        <v>1.2331146560112454</v>
      </c>
      <c r="AE27" s="9">
        <v>5.1602126696363841</v>
      </c>
      <c r="AF27" s="9">
        <v>1.6613944045658362</v>
      </c>
      <c r="AG27" s="9">
        <v>0.60537619333163417</v>
      </c>
      <c r="AH27" s="9">
        <v>0.77772861809179328</v>
      </c>
      <c r="AI27" s="9">
        <v>0.39300397514265595</v>
      </c>
      <c r="AJ27" s="9">
        <v>0.58865828710399448</v>
      </c>
      <c r="AK27" s="9">
        <v>5.641597069516723</v>
      </c>
      <c r="AL27" s="9">
        <v>2.1648635079400524E-2</v>
      </c>
      <c r="AM27" s="9">
        <v>0.47775841730993335</v>
      </c>
      <c r="AN27" s="30">
        <v>0.73115850236803959</v>
      </c>
      <c r="AO27" s="9"/>
      <c r="AP27" s="30"/>
      <c r="AQ27" s="9">
        <v>0.48598900269656814</v>
      </c>
      <c r="AR27" s="9">
        <v>6.3016669804555194</v>
      </c>
      <c r="AS27" s="9">
        <v>22.939178579980513</v>
      </c>
      <c r="AT27" s="9">
        <v>1579.8534209992376</v>
      </c>
      <c r="AU27" s="9">
        <v>1.6017854890627827</v>
      </c>
      <c r="AV27" s="9">
        <v>2.596196391610929</v>
      </c>
    </row>
    <row r="28" spans="1:48" x14ac:dyDescent="0.3">
      <c r="A28" s="37">
        <v>1995</v>
      </c>
      <c r="B28" s="30">
        <v>1.7709999999999999</v>
      </c>
      <c r="C28" s="9">
        <v>1.1408606144064428</v>
      </c>
      <c r="D28" s="9">
        <v>0.6195940625877947</v>
      </c>
      <c r="E28" s="9">
        <v>0.61802078632414437</v>
      </c>
      <c r="F28" s="9">
        <v>1.1606606387904443</v>
      </c>
      <c r="G28" s="18">
        <v>1</v>
      </c>
      <c r="H28" s="9">
        <v>335.54645188070606</v>
      </c>
      <c r="I28" s="9">
        <v>772.02435863373898</v>
      </c>
      <c r="J28" s="9">
        <v>151.99480183768034</v>
      </c>
      <c r="K28" s="9">
        <v>22.445123657206071</v>
      </c>
      <c r="L28" s="9">
        <v>4.7378543344682207</v>
      </c>
      <c r="M28" s="9">
        <v>0.61966188482599482</v>
      </c>
      <c r="N28" s="9">
        <v>0.62109070825548163</v>
      </c>
      <c r="O28" s="9">
        <v>0.64352341958126003</v>
      </c>
      <c r="P28" s="9">
        <v>0.61967705593037514</v>
      </c>
      <c r="Q28" s="9">
        <v>0.57495054660186162</v>
      </c>
      <c r="R28" s="9">
        <v>106.28727458009888</v>
      </c>
      <c r="S28" s="9">
        <v>54.708967041424167</v>
      </c>
      <c r="T28" s="9">
        <v>0.66976599342186893</v>
      </c>
      <c r="U28" s="9">
        <v>2.5466132661669207</v>
      </c>
      <c r="V28" s="9">
        <v>0.71145514106587393</v>
      </c>
      <c r="W28" s="9">
        <v>79.545058609703389</v>
      </c>
      <c r="X28" s="9">
        <v>652.24040373146056</v>
      </c>
      <c r="Y28" s="9">
        <v>0.63484399756135534</v>
      </c>
      <c r="Z28" s="9">
        <v>0.97971271200959553</v>
      </c>
      <c r="AA28" s="9">
        <v>0.61802078632414437</v>
      </c>
      <c r="AB28" s="9">
        <v>5.4288307728954477</v>
      </c>
      <c r="AC28" s="9">
        <v>0.61618829687504928</v>
      </c>
      <c r="AD28" s="9">
        <v>1.2887242303005804</v>
      </c>
      <c r="AE28" s="9">
        <v>5.3575660535193901</v>
      </c>
      <c r="AF28" s="9">
        <v>2.050779336740995</v>
      </c>
      <c r="AG28" s="9">
        <v>0.63740452514710544</v>
      </c>
      <c r="AH28" s="9">
        <v>0.83410609773860167</v>
      </c>
      <c r="AI28" s="9">
        <v>0.4182509037720446</v>
      </c>
      <c r="AJ28" s="9">
        <v>0.63375519967900351</v>
      </c>
      <c r="AK28" s="9">
        <v>6.0325195230601816</v>
      </c>
      <c r="AL28" s="9">
        <v>3.8770618402312045E-2</v>
      </c>
      <c r="AM28" s="9">
        <v>0.53588553330848243</v>
      </c>
      <c r="AN28" s="30">
        <v>0.84568801300668639</v>
      </c>
      <c r="AO28" s="9">
        <v>0.64654552571138579</v>
      </c>
      <c r="AP28" s="30">
        <v>0.64654552571138579</v>
      </c>
      <c r="AQ28" s="9">
        <v>0.77605969993580193</v>
      </c>
      <c r="AR28" s="9">
        <v>7.0626929666242519</v>
      </c>
      <c r="AS28" s="9">
        <v>27.423190033848762</v>
      </c>
      <c r="AT28" s="9">
        <v>1901.6208104087386</v>
      </c>
      <c r="AU28" s="9">
        <v>3.855618504499434</v>
      </c>
      <c r="AV28" s="9">
        <v>3.067382306656357</v>
      </c>
    </row>
    <row r="29" spans="1:48" x14ac:dyDescent="0.3">
      <c r="A29" s="37">
        <v>1996</v>
      </c>
      <c r="B29" s="30">
        <v>1.7849999999999999</v>
      </c>
      <c r="C29" s="9">
        <v>1.0338616462110581</v>
      </c>
      <c r="D29" s="9">
        <v>0.62245057694194306</v>
      </c>
      <c r="E29" s="9">
        <v>0.62096250617014748</v>
      </c>
      <c r="F29" s="9">
        <v>1.1031639192509202</v>
      </c>
      <c r="G29" s="18">
        <v>1</v>
      </c>
      <c r="H29" s="9">
        <v>333.54638446830205</v>
      </c>
      <c r="I29" s="9">
        <v>838.6845575683044</v>
      </c>
      <c r="J29" s="9">
        <v>168.0319468828456</v>
      </c>
      <c r="K29" s="9">
        <v>21.961729004349962</v>
      </c>
      <c r="L29" s="9">
        <v>4.6914439742936223</v>
      </c>
      <c r="M29" s="9">
        <v>0.62246132724586123</v>
      </c>
      <c r="N29" s="9">
        <v>0.62505938430698293</v>
      </c>
      <c r="O29" s="9">
        <v>0.63094665721220788</v>
      </c>
      <c r="P29" s="9">
        <v>0.62246973280998852</v>
      </c>
      <c r="Q29" s="9">
        <v>0.57153004630316984</v>
      </c>
      <c r="R29" s="9">
        <v>123.49954018710689</v>
      </c>
      <c r="S29" s="9">
        <v>53.802153704258053</v>
      </c>
      <c r="T29" s="9">
        <v>0.64208406029991094</v>
      </c>
      <c r="U29" s="9">
        <v>2.5822202085743644</v>
      </c>
      <c r="V29" s="9">
        <v>0.64470805726830527</v>
      </c>
      <c r="W29" s="9">
        <v>88.008233482468583</v>
      </c>
      <c r="X29" s="9">
        <v>650.8503167450101</v>
      </c>
      <c r="Y29" s="9">
        <v>0.63401319544828516</v>
      </c>
      <c r="Z29" s="9">
        <v>0.93727403026085543</v>
      </c>
      <c r="AA29" s="9">
        <v>0.62096250617014748</v>
      </c>
      <c r="AB29" s="9">
        <v>6.1483713049786486</v>
      </c>
      <c r="AC29" s="9">
        <v>0.61894854533593013</v>
      </c>
      <c r="AD29" s="9">
        <v>1.1770515610715124</v>
      </c>
      <c r="AE29" s="9">
        <v>5.218249312977508</v>
      </c>
      <c r="AF29" s="9">
        <v>2.1812930316097763</v>
      </c>
      <c r="AG29" s="9">
        <v>0.62245786098342082</v>
      </c>
      <c r="AH29" s="9">
        <v>0.82322804078105349</v>
      </c>
      <c r="AI29" s="9">
        <v>0.45700702200045468</v>
      </c>
      <c r="AJ29" s="9">
        <v>0.61589424635519363</v>
      </c>
      <c r="AK29" s="9">
        <v>5.4254867139694092</v>
      </c>
      <c r="AL29" s="9">
        <v>6.5861029980879601E-2</v>
      </c>
      <c r="AM29" s="9">
        <v>0.51857044441388012</v>
      </c>
      <c r="AN29" s="30">
        <v>0.80905494292117375</v>
      </c>
      <c r="AO29" s="9">
        <v>0.63717656491452335</v>
      </c>
      <c r="AP29" s="30">
        <v>0.63717656491452335</v>
      </c>
      <c r="AQ29" s="9">
        <v>0.81318112313007185</v>
      </c>
      <c r="AR29" s="9">
        <v>6.7266243800616499</v>
      </c>
      <c r="AS29" s="9">
        <v>28.667384028716029</v>
      </c>
      <c r="AT29" s="9">
        <v>1895.0463925588467</v>
      </c>
      <c r="AU29" s="9">
        <v>4.1430355202088416</v>
      </c>
      <c r="AV29" s="9">
        <v>3.4784096946356908</v>
      </c>
    </row>
    <row r="30" spans="1:48" x14ac:dyDescent="0.3">
      <c r="A30" s="37">
        <v>1997</v>
      </c>
      <c r="B30" s="30">
        <v>1.7949999999999999</v>
      </c>
      <c r="C30" s="9">
        <v>0.92838723569183068</v>
      </c>
      <c r="D30" s="9">
        <v>0.61111374184969669</v>
      </c>
      <c r="E30" s="9">
        <v>0.61104110200443185</v>
      </c>
      <c r="F30" s="9">
        <v>0.954031628841707</v>
      </c>
      <c r="G30" s="18">
        <v>1</v>
      </c>
      <c r="H30" s="9">
        <v>288.90745445932561</v>
      </c>
      <c r="I30" s="9">
        <v>786.26530582948885</v>
      </c>
      <c r="J30" s="9">
        <v>160.26699969854872</v>
      </c>
      <c r="K30" s="9">
        <v>21.841206953475975</v>
      </c>
      <c r="L30" s="9">
        <v>4.5506802750383946</v>
      </c>
      <c r="M30" s="9">
        <v>0.61131253749924008</v>
      </c>
      <c r="N30" s="9">
        <v>0.60161866449142753</v>
      </c>
      <c r="O30" s="9">
        <v>0.61309876990731971</v>
      </c>
      <c r="P30" s="9">
        <v>0.61090128357901907</v>
      </c>
      <c r="Q30" s="9">
        <v>0.55215101054211557</v>
      </c>
      <c r="R30" s="9">
        <v>128.70361597978794</v>
      </c>
      <c r="S30" s="9">
        <v>48.855288460158171</v>
      </c>
      <c r="T30" s="9">
        <v>0.57711485024951614</v>
      </c>
      <c r="U30" s="9">
        <v>2.3767107359717494</v>
      </c>
      <c r="V30" s="9">
        <v>0.6060556552270604</v>
      </c>
      <c r="W30" s="9">
        <v>83.366513070065892</v>
      </c>
      <c r="X30" s="9">
        <v>654.50411265664695</v>
      </c>
      <c r="Y30" s="9">
        <v>0.56953271561210417</v>
      </c>
      <c r="Z30" s="9">
        <v>0.79822924018274488</v>
      </c>
      <c r="AA30" s="9">
        <v>0.61104110200443185</v>
      </c>
      <c r="AB30" s="9">
        <v>5.4560682141165318</v>
      </c>
      <c r="AC30" s="9">
        <v>0.61010132858029464</v>
      </c>
      <c r="AD30" s="9">
        <v>1.042105565364682</v>
      </c>
      <c r="AE30" s="9">
        <v>4.8737958457143655</v>
      </c>
      <c r="AF30" s="9">
        <v>2.2595351908473607</v>
      </c>
      <c r="AG30" s="9">
        <v>0.60252687753919987</v>
      </c>
      <c r="AH30" s="9">
        <v>0.76885736820311967</v>
      </c>
      <c r="AI30" s="9">
        <v>0.4591482585356379</v>
      </c>
      <c r="AJ30" s="9">
        <v>0.60632264157499782</v>
      </c>
      <c r="AK30" s="9">
        <v>5.2606824282617701</v>
      </c>
      <c r="AL30" s="9">
        <v>0.10463976572929676</v>
      </c>
      <c r="AM30" s="9">
        <v>0.42088531185851846</v>
      </c>
      <c r="AN30" s="30">
        <v>0.68903148012574822</v>
      </c>
      <c r="AO30" s="9">
        <v>0.60759010275181946</v>
      </c>
      <c r="AP30" s="30">
        <v>0.60759010275181946</v>
      </c>
      <c r="AQ30" s="9">
        <v>0.74277019364655095</v>
      </c>
      <c r="AR30" s="9">
        <v>5.7119446478044251</v>
      </c>
      <c r="AS30" s="9">
        <v>25.020997085971011</v>
      </c>
      <c r="AT30" s="9">
        <v>2004.6544076482494</v>
      </c>
      <c r="AU30" s="9">
        <v>3.9859322739474301</v>
      </c>
      <c r="AV30" s="9">
        <v>3.1750306475460386</v>
      </c>
    </row>
    <row r="31" spans="1:48" x14ac:dyDescent="0.3">
      <c r="A31" s="37">
        <v>1998</v>
      </c>
      <c r="B31" s="30">
        <v>1.7949999999999999</v>
      </c>
      <c r="C31" s="9">
        <v>1.0979540084117845</v>
      </c>
      <c r="D31" s="9">
        <v>0.62050867703258927</v>
      </c>
      <c r="E31" s="9">
        <v>0.62064529059930751</v>
      </c>
      <c r="F31" s="9">
        <v>1.0232388495399187</v>
      </c>
      <c r="G31" s="18">
        <v>1</v>
      </c>
      <c r="H31" s="9">
        <v>317.48053170317172</v>
      </c>
      <c r="I31" s="9">
        <v>983.86748036300105</v>
      </c>
      <c r="J31" s="9">
        <v>177.42226891431309</v>
      </c>
      <c r="K31" s="9">
        <v>22.265740341269346</v>
      </c>
      <c r="L31" s="9">
        <v>4.6218548472077181</v>
      </c>
      <c r="M31" s="9">
        <v>0.62044895305202619</v>
      </c>
      <c r="N31" s="9">
        <v>0.61994695883664286</v>
      </c>
      <c r="O31" s="9">
        <v>0.62033874319579807</v>
      </c>
      <c r="P31" s="9">
        <v>0.62056524954810388</v>
      </c>
      <c r="Q31" s="9">
        <v>0.5982081313961537</v>
      </c>
      <c r="R31" s="9">
        <v>147.88225865655551</v>
      </c>
      <c r="S31" s="9">
        <v>48.943083171794903</v>
      </c>
      <c r="T31" s="9">
        <v>0.61504486324890051</v>
      </c>
      <c r="U31" s="9">
        <v>2.6210788507442202</v>
      </c>
      <c r="V31" s="9">
        <v>0.61847706612887987</v>
      </c>
      <c r="W31" s="9">
        <v>90.291142945260674</v>
      </c>
      <c r="X31" s="9">
        <v>967.83725550594875</v>
      </c>
      <c r="Y31" s="9">
        <v>0.57887261632078035</v>
      </c>
      <c r="Z31" s="9">
        <v>0.79905465585391844</v>
      </c>
      <c r="AA31" s="9">
        <v>0.62064529059930751</v>
      </c>
      <c r="AB31" s="9">
        <v>6.30152978834397</v>
      </c>
      <c r="AC31" s="9">
        <v>0.62089289995548702</v>
      </c>
      <c r="AD31" s="9">
        <v>1.2886136138551203</v>
      </c>
      <c r="AE31" s="9">
        <v>5.2041855710882245</v>
      </c>
      <c r="AF31" s="9">
        <v>2.3971362243841141</v>
      </c>
      <c r="AG31" s="9">
        <v>0.61963657913866488</v>
      </c>
      <c r="AH31" s="9">
        <v>0.80667984475452159</v>
      </c>
      <c r="AI31" s="9">
        <v>0.47817576845853155</v>
      </c>
      <c r="AJ31" s="9">
        <v>0.61931010119720287</v>
      </c>
      <c r="AK31" s="9">
        <v>5.4833737012702928</v>
      </c>
      <c r="AL31" s="9">
        <v>0.17983298159934966</v>
      </c>
      <c r="AM31" s="9">
        <v>0.41648368841420474</v>
      </c>
      <c r="AN31" s="30">
        <v>0.68974397893310524</v>
      </c>
      <c r="AO31" s="9">
        <v>0.61524407375278467</v>
      </c>
      <c r="AP31" s="30">
        <v>0.61524407375278467</v>
      </c>
      <c r="AQ31" s="9">
        <v>0.80045938328484623</v>
      </c>
      <c r="AR31" s="9">
        <v>5.7103616622547202</v>
      </c>
      <c r="AS31" s="9">
        <v>28.458398583353301</v>
      </c>
      <c r="AT31" s="9">
        <v>6906.8358266840687</v>
      </c>
      <c r="AU31" s="9">
        <v>6.6940227942106958</v>
      </c>
      <c r="AV31" s="9">
        <v>3.8131007177895482</v>
      </c>
    </row>
    <row r="32" spans="1:48" x14ac:dyDescent="0.3">
      <c r="A32" s="37">
        <v>1999</v>
      </c>
      <c r="B32" s="30">
        <v>1.8090000000000002</v>
      </c>
      <c r="C32" s="9">
        <v>1.0318176220163697</v>
      </c>
      <c r="D32" s="9">
        <v>0.62462467081977757</v>
      </c>
      <c r="E32" s="9">
        <v>0.62462467081977757</v>
      </c>
      <c r="F32" s="9">
        <v>0.98904894579231839</v>
      </c>
      <c r="G32" s="18">
        <v>1</v>
      </c>
      <c r="H32" s="9">
        <v>338.69784853538152</v>
      </c>
      <c r="I32" s="9">
        <v>1169.4437879801553</v>
      </c>
      <c r="J32" s="9">
        <v>190.18323331036615</v>
      </c>
      <c r="K32" s="9">
        <v>23.013104506525625</v>
      </c>
      <c r="L32" s="9">
        <v>4.6441545646088391</v>
      </c>
      <c r="M32" s="9">
        <v>0.62448185931108446</v>
      </c>
      <c r="N32" s="9">
        <v>0.62462467081977757</v>
      </c>
      <c r="O32" s="9">
        <v>0.62462467081977757</v>
      </c>
      <c r="P32" s="9">
        <v>0.62462467081977757</v>
      </c>
      <c r="Q32" s="9">
        <v>0.59713009896138025</v>
      </c>
      <c r="R32" s="9">
        <v>157.87041505925356</v>
      </c>
      <c r="S32" s="9">
        <v>48.154347143492714</v>
      </c>
      <c r="T32" s="9">
        <v>0.62462467081977757</v>
      </c>
      <c r="U32" s="9">
        <v>2.7558518705903583</v>
      </c>
      <c r="V32" s="9">
        <v>0.62462467081977757</v>
      </c>
      <c r="W32" s="9">
        <v>75.828929105185566</v>
      </c>
      <c r="X32" s="9">
        <v>791.82186037170595</v>
      </c>
      <c r="Y32" s="9">
        <v>0.55428178485041968</v>
      </c>
      <c r="Z32" s="9">
        <v>0.77121207474775899</v>
      </c>
      <c r="AA32" s="9">
        <v>0.62462467081977757</v>
      </c>
      <c r="AB32" s="9">
        <v>6.3644547333663981</v>
      </c>
      <c r="AC32" s="9">
        <v>0.62462467081977757</v>
      </c>
      <c r="AD32" s="9">
        <v>1.2579353656524528</v>
      </c>
      <c r="AE32" s="9">
        <v>5.1919886207925687</v>
      </c>
      <c r="AF32" s="9">
        <v>2.6409447316244528</v>
      </c>
      <c r="AG32" s="9">
        <v>0.62462467081977757</v>
      </c>
      <c r="AH32" s="9">
        <v>0.91401655226525902</v>
      </c>
      <c r="AI32" s="9">
        <v>0.50494749409573447</v>
      </c>
      <c r="AJ32" s="9">
        <v>0.62462467081977757</v>
      </c>
      <c r="AK32" s="9">
        <v>5.5003833381597316</v>
      </c>
      <c r="AL32" s="9">
        <v>0.27878808556152063</v>
      </c>
      <c r="AM32" s="9">
        <v>0.411446784785857</v>
      </c>
      <c r="AN32" s="30">
        <v>0.66571026292226843</v>
      </c>
      <c r="AO32" s="9">
        <v>0.62462467081977757</v>
      </c>
      <c r="AP32" s="30">
        <v>0.62462467081977757</v>
      </c>
      <c r="AQ32" s="9">
        <v>1.2075537122148647</v>
      </c>
      <c r="AR32" s="9">
        <v>5.5109159840362683</v>
      </c>
      <c r="AS32" s="9">
        <v>28.662440516014197</v>
      </c>
      <c r="AT32" s="9">
        <v>5229.2539717938562</v>
      </c>
      <c r="AU32" s="9">
        <v>16.389720102119956</v>
      </c>
      <c r="AV32" s="9">
        <v>4.0671463109110979</v>
      </c>
    </row>
    <row r="33" spans="1:48" x14ac:dyDescent="0.3">
      <c r="A33" s="37">
        <v>2000</v>
      </c>
      <c r="B33" s="30">
        <v>1.8380000000000001</v>
      </c>
      <c r="C33" s="9">
        <v>1.0213069997152844</v>
      </c>
      <c r="D33" s="9">
        <v>0.64109298606946474</v>
      </c>
      <c r="E33" s="9">
        <v>0.64109298606946474</v>
      </c>
      <c r="F33" s="9">
        <v>0.87953381976116773</v>
      </c>
      <c r="G33" s="18">
        <v>1</v>
      </c>
      <c r="H33" s="9">
        <v>319.50137446209459</v>
      </c>
      <c r="I33" s="9">
        <v>1236.3013918309907</v>
      </c>
      <c r="J33" s="9">
        <v>182.48395967454985</v>
      </c>
      <c r="K33" s="9">
        <v>22.854953417305996</v>
      </c>
      <c r="L33" s="9">
        <v>4.7862036671072996</v>
      </c>
      <c r="M33" s="9">
        <v>0.6421519726043784</v>
      </c>
      <c r="N33" s="9">
        <v>0.64109298606946474</v>
      </c>
      <c r="O33" s="9">
        <v>0.64109298606946474</v>
      </c>
      <c r="P33" s="9">
        <v>0.64109298606946474</v>
      </c>
      <c r="Q33" s="9">
        <v>0.63495334941261838</v>
      </c>
      <c r="R33" s="9">
        <v>167.08435906051986</v>
      </c>
      <c r="S33" s="9">
        <v>46.550194388562936</v>
      </c>
      <c r="T33" s="9">
        <v>0.64109298606946474</v>
      </c>
      <c r="U33" s="9">
        <v>2.414276839511873</v>
      </c>
      <c r="V33" s="9">
        <v>0.64109298606946474</v>
      </c>
      <c r="W33" s="9">
        <v>63.810271433442132</v>
      </c>
      <c r="X33" s="9">
        <v>669.31196958863836</v>
      </c>
      <c r="Y33" s="9">
        <v>0.51098415225150662</v>
      </c>
      <c r="Z33" s="9">
        <v>0.68596099052618575</v>
      </c>
      <c r="AA33" s="9">
        <v>0.64109298606946474</v>
      </c>
      <c r="AB33" s="9">
        <v>5.598839639180877</v>
      </c>
      <c r="AC33" s="9">
        <v>0.64109298606946474</v>
      </c>
      <c r="AD33" s="9">
        <v>1.3033478057703189</v>
      </c>
      <c r="AE33" s="9">
        <v>5.2117599282743416</v>
      </c>
      <c r="AF33" s="9">
        <v>2.5734045655530342</v>
      </c>
      <c r="AG33" s="9">
        <v>0.64109298606946474</v>
      </c>
      <c r="AH33" s="9">
        <v>0.9048135558450654</v>
      </c>
      <c r="AI33" s="9">
        <v>0.5501563242548011</v>
      </c>
      <c r="AJ33" s="9">
        <v>0.64109298606946474</v>
      </c>
      <c r="AK33" s="9">
        <v>5.4251620069169624</v>
      </c>
      <c r="AL33" s="9">
        <v>0.37020533294253311</v>
      </c>
      <c r="AM33" s="9">
        <v>0.39135137428939232</v>
      </c>
      <c r="AN33" s="30">
        <v>0.592121527022206</v>
      </c>
      <c r="AO33" s="9">
        <v>0.64109298606946474</v>
      </c>
      <c r="AP33" s="30">
        <v>0.64109298606946474</v>
      </c>
      <c r="AQ33" s="9">
        <v>1.0832408126131419</v>
      </c>
      <c r="AR33" s="9">
        <v>4.901880528626358</v>
      </c>
      <c r="AS33" s="9">
        <v>26.610891779428812</v>
      </c>
      <c r="AT33" s="9">
        <v>4986.7142732374386</v>
      </c>
      <c r="AU33" s="9">
        <v>16.655885120528765</v>
      </c>
      <c r="AV33" s="9">
        <v>4.1092217500053021</v>
      </c>
    </row>
    <row r="34" spans="1:48" x14ac:dyDescent="0.3">
      <c r="A34" s="37">
        <v>2001</v>
      </c>
      <c r="B34" s="30">
        <v>1.8559999999999999</v>
      </c>
      <c r="C34" s="9">
        <v>1.1456656287127098</v>
      </c>
      <c r="D34" s="9">
        <v>0.66160414884000207</v>
      </c>
      <c r="E34" s="9">
        <v>0.66160414884000207</v>
      </c>
      <c r="F34" s="9">
        <v>0.91776854021799992</v>
      </c>
      <c r="G34" s="18">
        <v>1</v>
      </c>
      <c r="H34" s="9">
        <v>376.23411342831929</v>
      </c>
      <c r="I34" s="9">
        <v>1362.8068803212402</v>
      </c>
      <c r="J34" s="9">
        <v>194.87313950950482</v>
      </c>
      <c r="K34" s="9">
        <v>22.537917909791805</v>
      </c>
      <c r="L34" s="9">
        <v>4.9317039135110736</v>
      </c>
      <c r="M34" s="9">
        <v>0.66191184893712729</v>
      </c>
      <c r="N34" s="9">
        <v>0.66160414884000207</v>
      </c>
      <c r="O34" s="9">
        <v>0.66160414884000207</v>
      </c>
      <c r="P34" s="9">
        <v>0.66160414884000207</v>
      </c>
      <c r="Q34" s="9">
        <v>0.66160414884000207</v>
      </c>
      <c r="R34" s="9">
        <v>169.76028300293609</v>
      </c>
      <c r="S34" s="9">
        <v>57.729164135974905</v>
      </c>
      <c r="T34" s="9">
        <v>0.66160414884000207</v>
      </c>
      <c r="U34" s="9">
        <v>2.4920672072718006</v>
      </c>
      <c r="V34" s="9">
        <v>0.66160414884000207</v>
      </c>
      <c r="W34" s="9">
        <v>72.012246572826143</v>
      </c>
      <c r="X34" s="9">
        <v>764.86046876805426</v>
      </c>
      <c r="Y34" s="9">
        <v>0.52941276560503192</v>
      </c>
      <c r="Z34" s="9">
        <v>0.68645992963011104</v>
      </c>
      <c r="AA34" s="9">
        <v>0.66160414884000207</v>
      </c>
      <c r="AB34" s="9">
        <v>5.5358252128990681</v>
      </c>
      <c r="AC34" s="9">
        <v>0.66160414884000207</v>
      </c>
      <c r="AD34" s="9">
        <v>1.4095340663204166</v>
      </c>
      <c r="AE34" s="9">
        <v>5.3280245593139783</v>
      </c>
      <c r="AF34" s="9">
        <v>2.4258494976638625</v>
      </c>
      <c r="AG34" s="9">
        <v>0.66160414884000207</v>
      </c>
      <c r="AH34" s="9">
        <v>0.95109750436886964</v>
      </c>
      <c r="AI34" s="9">
        <v>0.60023935469554968</v>
      </c>
      <c r="AJ34" s="9">
        <v>0.66160414884000207</v>
      </c>
      <c r="AK34" s="9">
        <v>6.1205522784126112</v>
      </c>
      <c r="AL34" s="9">
        <v>0.72622492886904289</v>
      </c>
      <c r="AM34" s="9">
        <v>0.41161935631053231</v>
      </c>
      <c r="AN34" s="30">
        <v>0.59255221125671431</v>
      </c>
      <c r="AO34" s="9">
        <v>0.66160414884000207</v>
      </c>
      <c r="AP34" s="30">
        <v>0.66160414884000207</v>
      </c>
      <c r="AQ34" s="9">
        <v>1.3922794649979051</v>
      </c>
      <c r="AR34" s="9">
        <v>4.9045951436395923</v>
      </c>
      <c r="AS34" s="9">
        <v>27.960414055733445</v>
      </c>
      <c r="AT34" s="9">
        <v>6080.0893568734573</v>
      </c>
      <c r="AU34" s="9">
        <v>17.283873987846754</v>
      </c>
      <c r="AV34" s="9">
        <v>5.1013891399005873</v>
      </c>
    </row>
    <row r="35" spans="1:48" x14ac:dyDescent="0.3">
      <c r="A35" s="37">
        <v>2002</v>
      </c>
      <c r="B35" s="30">
        <v>1.8680000000000001</v>
      </c>
      <c r="C35" s="9">
        <v>1.1809018627204093</v>
      </c>
      <c r="D35" s="9">
        <v>0.6785281068130623</v>
      </c>
      <c r="E35" s="9">
        <v>0.6785281068130623</v>
      </c>
      <c r="F35" s="9">
        <v>1.0075293710357869</v>
      </c>
      <c r="G35" s="18">
        <v>1</v>
      </c>
      <c r="H35" s="9">
        <v>442.02062845627654</v>
      </c>
      <c r="I35" s="9">
        <v>1606.9990894650066</v>
      </c>
      <c r="J35" s="9">
        <v>230.85833147968302</v>
      </c>
      <c r="K35" s="9">
        <v>21.00497933785979</v>
      </c>
      <c r="L35" s="9">
        <v>5.0652355815474133</v>
      </c>
      <c r="M35" s="9">
        <v>0.68117662116401989</v>
      </c>
      <c r="N35" s="9">
        <v>0.6785281068130623</v>
      </c>
      <c r="O35" s="9">
        <v>0.6785281068130623</v>
      </c>
      <c r="P35" s="9">
        <v>0.6785281068130623</v>
      </c>
      <c r="Q35" s="9">
        <v>0.6785281068130623</v>
      </c>
      <c r="R35" s="9">
        <v>165.45965977108796</v>
      </c>
      <c r="S35" s="9">
        <v>58.809974074079975</v>
      </c>
      <c r="T35" s="9">
        <v>0.6785281068130623</v>
      </c>
      <c r="U35" s="9">
        <v>3.0397807016840352</v>
      </c>
      <c r="V35" s="9">
        <v>0.6785281068130623</v>
      </c>
      <c r="W35" s="9">
        <v>80.448746183157724</v>
      </c>
      <c r="X35" s="9">
        <v>803.02609861687438</v>
      </c>
      <c r="Y35" s="9">
        <v>0.56435471795697834</v>
      </c>
      <c r="Z35" s="9">
        <v>0.68325138988162826</v>
      </c>
      <c r="AA35" s="9">
        <v>0.6785281068130623</v>
      </c>
      <c r="AB35" s="9">
        <v>6.1952469324915551</v>
      </c>
      <c r="AC35" s="9">
        <v>0.6785281068130623</v>
      </c>
      <c r="AD35" s="9">
        <v>1.387258070638907</v>
      </c>
      <c r="AE35" s="9">
        <v>5.1223793247070422</v>
      </c>
      <c r="AF35" s="9">
        <v>2.617742653832559</v>
      </c>
      <c r="AG35" s="9">
        <v>0.6785281068130623</v>
      </c>
      <c r="AH35" s="9">
        <v>0.96533120899578628</v>
      </c>
      <c r="AI35" s="9">
        <v>0.64322674966019344</v>
      </c>
      <c r="AJ35" s="9">
        <v>0.6785281068130623</v>
      </c>
      <c r="AK35" s="9">
        <v>6.247322262553805</v>
      </c>
      <c r="AL35" s="9">
        <v>0.96703398172192812</v>
      </c>
      <c r="AM35" s="9">
        <v>0.42808938962075632</v>
      </c>
      <c r="AN35" s="30">
        <v>0.64159834980904429</v>
      </c>
      <c r="AO35" s="9">
        <v>0.6785281068130623</v>
      </c>
      <c r="AP35" s="30">
        <v>0.6785281068130623</v>
      </c>
      <c r="AQ35" s="9">
        <v>1.8737000930350907</v>
      </c>
      <c r="AR35" s="9">
        <v>5.3104822734395931</v>
      </c>
      <c r="AS35" s="9">
        <v>31.188300561024249</v>
      </c>
      <c r="AT35" s="9">
        <v>5974.0452080890545</v>
      </c>
      <c r="AU35" s="9">
        <v>20.113135175682974</v>
      </c>
      <c r="AV35" s="9">
        <v>6.7629256670884752</v>
      </c>
    </row>
    <row r="36" spans="1:48" x14ac:dyDescent="0.3">
      <c r="A36" s="37">
        <v>2003</v>
      </c>
      <c r="B36" s="30">
        <v>1.88</v>
      </c>
      <c r="C36" s="9">
        <v>1.1449992295701474</v>
      </c>
      <c r="D36" s="9">
        <v>0.65647895156064251</v>
      </c>
      <c r="E36" s="9">
        <v>0.65647895156064251</v>
      </c>
      <c r="F36" s="9">
        <v>1.040369569320434</v>
      </c>
      <c r="G36" s="18">
        <v>1</v>
      </c>
      <c r="H36" s="9">
        <v>513.42002164629537</v>
      </c>
      <c r="I36" s="9">
        <v>2136.8147274008816</v>
      </c>
      <c r="J36" s="9">
        <v>296.03978429614432</v>
      </c>
      <c r="K36" s="9">
        <v>20.947523516675062</v>
      </c>
      <c r="L36" s="9">
        <v>4.8918941497455819</v>
      </c>
      <c r="M36" s="9">
        <v>0.65762116931079273</v>
      </c>
      <c r="N36" s="9">
        <v>0.65647895156064251</v>
      </c>
      <c r="O36" s="9">
        <v>0.65647895156064251</v>
      </c>
      <c r="P36" s="9">
        <v>0.65647895156064251</v>
      </c>
      <c r="Q36" s="9">
        <v>0.65647895156064251</v>
      </c>
      <c r="R36" s="9">
        <v>166.56631482672125</v>
      </c>
      <c r="S36" s="9">
        <v>56.962785453541983</v>
      </c>
      <c r="T36" s="9">
        <v>0.65647895156064251</v>
      </c>
      <c r="U36" s="9">
        <v>3.3818219397381588</v>
      </c>
      <c r="V36" s="9">
        <v>0.65647895156064251</v>
      </c>
      <c r="W36" s="9">
        <v>86.090218263704543</v>
      </c>
      <c r="X36" s="9">
        <v>884.89592390009511</v>
      </c>
      <c r="Y36" s="9">
        <v>0.60382071421488392</v>
      </c>
      <c r="Z36" s="9">
        <v>0.65829110174086369</v>
      </c>
      <c r="AA36" s="9">
        <v>0.65647895156064251</v>
      </c>
      <c r="AB36" s="9">
        <v>8.011742093502308</v>
      </c>
      <c r="AC36" s="9">
        <v>0.65647895156064251</v>
      </c>
      <c r="AD36" s="9">
        <v>1.2788015302638713</v>
      </c>
      <c r="AE36" s="9">
        <v>5.2576484500746066</v>
      </c>
      <c r="AF36" s="9">
        <v>2.8879609351842697</v>
      </c>
      <c r="AG36" s="9">
        <v>0.65647895156064251</v>
      </c>
      <c r="AH36" s="9">
        <v>0.90642442894761233</v>
      </c>
      <c r="AI36" s="9">
        <v>0.64179236320243105</v>
      </c>
      <c r="AJ36" s="9">
        <v>0.65647895156064251</v>
      </c>
      <c r="AK36" s="9">
        <v>6.0047519123059088</v>
      </c>
      <c r="AL36" s="9">
        <v>1.1145318232701995</v>
      </c>
      <c r="AM36" s="9">
        <v>0.45481165929550027</v>
      </c>
      <c r="AN36" s="30">
        <v>0.74258298829008695</v>
      </c>
      <c r="AO36" s="9">
        <v>0.65647895156064251</v>
      </c>
      <c r="AP36" s="30">
        <v>0.65647895156064251</v>
      </c>
      <c r="AQ36" s="9">
        <v>2.2852806698677899</v>
      </c>
      <c r="AR36" s="9">
        <v>6.146386622119949</v>
      </c>
      <c r="AS36" s="9">
        <v>34.591954360849577</v>
      </c>
      <c r="AT36" s="9">
        <v>6369.2333016291777</v>
      </c>
      <c r="AU36" s="9">
        <v>22.791375641174056</v>
      </c>
      <c r="AV36" s="9">
        <v>5.6174540418482728</v>
      </c>
    </row>
    <row r="37" spans="1:48" x14ac:dyDescent="0.3">
      <c r="A37" s="37">
        <v>2004</v>
      </c>
      <c r="B37" s="30">
        <v>1.895</v>
      </c>
      <c r="C37" s="9">
        <v>1.0934918023448708</v>
      </c>
      <c r="D37" s="9">
        <v>0.64650127985762118</v>
      </c>
      <c r="E37" s="9">
        <v>0.64650127985762118</v>
      </c>
      <c r="F37" s="9">
        <v>1.0464704103686209</v>
      </c>
      <c r="G37" s="18">
        <v>1</v>
      </c>
      <c r="H37" s="9">
        <v>490.17387137740121</v>
      </c>
      <c r="I37" s="9">
        <v>2113.6929154701666</v>
      </c>
      <c r="J37" s="9">
        <v>352.18051260056592</v>
      </c>
      <c r="K37" s="9">
        <v>20.667339054212142</v>
      </c>
      <c r="L37" s="9">
        <v>4.8179145487017525</v>
      </c>
      <c r="M37" s="9">
        <v>0.64737107401765204</v>
      </c>
      <c r="N37" s="9">
        <v>0.64650127985762118</v>
      </c>
      <c r="O37" s="9">
        <v>0.64650127985762118</v>
      </c>
      <c r="P37" s="9">
        <v>0.64650127985762118</v>
      </c>
      <c r="Q37" s="9">
        <v>0.64650127985762118</v>
      </c>
      <c r="R37" s="9">
        <v>163.04504438092894</v>
      </c>
      <c r="S37" s="9">
        <v>56.447046130030031</v>
      </c>
      <c r="T37" s="9">
        <v>0.64650127985762118</v>
      </c>
      <c r="U37" s="9">
        <v>3.6043412556669949</v>
      </c>
      <c r="V37" s="9">
        <v>0.64650127985762118</v>
      </c>
      <c r="W37" s="9">
        <v>87.006780615133792</v>
      </c>
      <c r="X37" s="9">
        <v>921.79574385385001</v>
      </c>
      <c r="Y37" s="9">
        <v>0.61816273167853864</v>
      </c>
      <c r="Z37" s="9">
        <v>0.64762180013215231</v>
      </c>
      <c r="AA37" s="9">
        <v>0.64650127985762118</v>
      </c>
      <c r="AB37" s="9">
        <v>9.0759987803202371</v>
      </c>
      <c r="AC37" s="9">
        <v>0.64650127985762118</v>
      </c>
      <c r="AD37" s="9">
        <v>1.2132580024245283</v>
      </c>
      <c r="AE37" s="9">
        <v>5.4208732772861579</v>
      </c>
      <c r="AF37" s="9">
        <v>2.9414185143362657</v>
      </c>
      <c r="AG37" s="9">
        <v>0.64650127985762118</v>
      </c>
      <c r="AH37" s="9">
        <v>0.86106719963065659</v>
      </c>
      <c r="AI37" s="9">
        <v>0.6455930006722479</v>
      </c>
      <c r="AJ37" s="9">
        <v>0.64650127985762118</v>
      </c>
      <c r="AK37" s="9">
        <v>5.9098603064612973</v>
      </c>
      <c r="AL37" s="9">
        <v>1.1463948746645076</v>
      </c>
      <c r="AM37" s="9">
        <v>0.43922945727602747</v>
      </c>
      <c r="AN37" s="30">
        <v>0.80418443970124764</v>
      </c>
      <c r="AO37" s="9">
        <v>0.64650127985762118</v>
      </c>
      <c r="AP37" s="30">
        <v>0.64650127985762118</v>
      </c>
      <c r="AQ37" s="9">
        <v>2.3523355455681338</v>
      </c>
      <c r="AR37" s="9">
        <v>6.6560744406729837</v>
      </c>
      <c r="AS37" s="9">
        <v>36.442797355573546</v>
      </c>
      <c r="AT37" s="9">
        <v>7188.4840788234978</v>
      </c>
      <c r="AU37" s="9">
        <v>23.171562697904776</v>
      </c>
      <c r="AV37" s="9">
        <v>5.1947841937548516</v>
      </c>
    </row>
    <row r="38" spans="1:48" x14ac:dyDescent="0.3">
      <c r="A38" s="37">
        <v>2005</v>
      </c>
      <c r="B38" s="30">
        <v>1.9169999999999998</v>
      </c>
      <c r="C38" s="9">
        <v>1.0516365816898836</v>
      </c>
      <c r="D38" s="9">
        <v>0.64553104284648744</v>
      </c>
      <c r="E38" s="9">
        <v>0.64553104284648744</v>
      </c>
      <c r="F38" s="9">
        <v>0.97287811970456661</v>
      </c>
      <c r="G38" s="18">
        <v>1</v>
      </c>
      <c r="H38" s="9">
        <v>449.5486584233052</v>
      </c>
      <c r="I38" s="9">
        <v>1864.0982671802976</v>
      </c>
      <c r="J38" s="9">
        <v>383.71000218506418</v>
      </c>
      <c r="K38" s="9">
        <v>19.240174754318716</v>
      </c>
      <c r="L38" s="9">
        <v>4.8161117699496714</v>
      </c>
      <c r="M38" s="9">
        <v>0.64589272115012009</v>
      </c>
      <c r="N38" s="9">
        <v>0.64553104284648744</v>
      </c>
      <c r="O38" s="9">
        <v>0.64553104284648744</v>
      </c>
      <c r="P38" s="9">
        <v>0.64553104284648744</v>
      </c>
      <c r="Q38" s="9">
        <v>0.64553104284648744</v>
      </c>
      <c r="R38" s="9">
        <v>160.28448439712793</v>
      </c>
      <c r="S38" s="9">
        <v>50.580506648320537</v>
      </c>
      <c r="T38" s="9">
        <v>0.64553104284648744</v>
      </c>
      <c r="U38" s="9">
        <v>3.6040668927836408</v>
      </c>
      <c r="V38" s="9">
        <v>0.64553104284648744</v>
      </c>
      <c r="W38" s="9">
        <v>88.516123548733319</v>
      </c>
      <c r="X38" s="9">
        <v>822.63694843837595</v>
      </c>
      <c r="Y38" s="9">
        <v>0.64530555984924043</v>
      </c>
      <c r="Z38" s="9">
        <v>0.64522022731857109</v>
      </c>
      <c r="AA38" s="9">
        <v>0.64553104284648744</v>
      </c>
      <c r="AB38" s="9">
        <v>8.7520847108710083</v>
      </c>
      <c r="AC38" s="9">
        <v>0.64553104284648744</v>
      </c>
      <c r="AD38" s="9">
        <v>1.1406200378106943</v>
      </c>
      <c r="AE38" s="9">
        <v>5.173964604754909</v>
      </c>
      <c r="AF38" s="9">
        <v>2.5984130765915525</v>
      </c>
      <c r="AG38" s="9">
        <v>0.64553104284648744</v>
      </c>
      <c r="AH38" s="9">
        <v>0.82688449091458416</v>
      </c>
      <c r="AI38" s="9">
        <v>0.64580849451303435</v>
      </c>
      <c r="AJ38" s="9">
        <v>0.64553104284648744</v>
      </c>
      <c r="AK38" s="9">
        <v>6.0016289522504467</v>
      </c>
      <c r="AL38" s="9">
        <v>1.0790301041619295</v>
      </c>
      <c r="AM38" s="9">
        <v>0.44170305150808803</v>
      </c>
      <c r="AN38" s="30">
        <v>0.80309889092043596</v>
      </c>
      <c r="AO38" s="9">
        <v>0.64553104284648744</v>
      </c>
      <c r="AP38" s="30">
        <v>0.64553104284648744</v>
      </c>
      <c r="AQ38" s="9">
        <v>1.955055938165583</v>
      </c>
      <c r="AR38" s="9">
        <v>6.580846626850839</v>
      </c>
      <c r="AS38" s="9">
        <v>35.416641012118951</v>
      </c>
      <c r="AT38" s="9">
        <v>7793.8672691693373</v>
      </c>
      <c r="AU38" s="9">
        <v>22.715203732803712</v>
      </c>
      <c r="AV38" s="9">
        <v>5.1071695314989025</v>
      </c>
    </row>
    <row r="39" spans="1:48" x14ac:dyDescent="0.3">
      <c r="A39" s="37">
        <v>2006</v>
      </c>
      <c r="B39" s="30">
        <v>1.9369999999999998</v>
      </c>
      <c r="C39" s="9">
        <v>1.0591223043548796</v>
      </c>
      <c r="D39" s="9">
        <v>0.63519317746962334</v>
      </c>
      <c r="E39" s="9">
        <v>0.63519317746962334</v>
      </c>
      <c r="F39" s="9">
        <v>0.90469414772712131</v>
      </c>
      <c r="G39" s="18">
        <v>1</v>
      </c>
      <c r="H39" s="9">
        <v>422.91966300946797</v>
      </c>
      <c r="I39" s="9">
        <v>1881.0919534842119</v>
      </c>
      <c r="J39" s="9">
        <v>407.78764327841276</v>
      </c>
      <c r="K39" s="9">
        <v>18.021057920580208</v>
      </c>
      <c r="L39" s="9">
        <v>4.7428400145685492</v>
      </c>
      <c r="M39" s="9">
        <v>0.63539805619351541</v>
      </c>
      <c r="N39" s="9">
        <v>0.63519317746962334</v>
      </c>
      <c r="O39" s="9">
        <v>0.63519317746962334</v>
      </c>
      <c r="P39" s="9">
        <v>0.63519317746962334</v>
      </c>
      <c r="Q39" s="9">
        <v>0.63519317746962334</v>
      </c>
      <c r="R39" s="9">
        <v>167.7960829768742</v>
      </c>
      <c r="S39" s="9">
        <v>55.971905049275314</v>
      </c>
      <c r="T39" s="9">
        <v>0.63519317746962334</v>
      </c>
      <c r="U39" s="9">
        <v>3.5537201617427017</v>
      </c>
      <c r="V39" s="9">
        <v>0.63519317746962334</v>
      </c>
      <c r="W39" s="9">
        <v>92.754260899155099</v>
      </c>
      <c r="X39" s="9">
        <v>761.92998593657535</v>
      </c>
      <c r="Y39" s="9">
        <v>0.63595602316908184</v>
      </c>
      <c r="Z39" s="9">
        <v>0.63572492218408494</v>
      </c>
      <c r="AA39" s="9">
        <v>0.63519317746962334</v>
      </c>
      <c r="AB39" s="9">
        <v>8.6926662820713592</v>
      </c>
      <c r="AC39" s="9">
        <v>0.63519317746962334</v>
      </c>
      <c r="AD39" s="9">
        <v>1.229863186014851</v>
      </c>
      <c r="AE39" s="9">
        <v>5.1149399313577293</v>
      </c>
      <c r="AF39" s="9">
        <v>2.4749171214904608</v>
      </c>
      <c r="AG39" s="9">
        <v>0.63519317746962334</v>
      </c>
      <c r="AH39" s="9">
        <v>0.78619719152798084</v>
      </c>
      <c r="AI39" s="9">
        <v>0.63576267728607938</v>
      </c>
      <c r="AJ39" s="9">
        <v>0.63519317746962334</v>
      </c>
      <c r="AK39" s="9">
        <v>5.884506437540054</v>
      </c>
      <c r="AL39" s="9">
        <v>1.1392598862737666</v>
      </c>
      <c r="AM39" s="9">
        <v>0.43345659877762566</v>
      </c>
      <c r="AN39" s="30">
        <v>0.79754780634476075</v>
      </c>
      <c r="AO39" s="9">
        <v>0.63519317746962334</v>
      </c>
      <c r="AP39" s="30">
        <v>0.63519317746962334</v>
      </c>
      <c r="AQ39" s="9">
        <v>1.7349270110832553</v>
      </c>
      <c r="AR39" s="9">
        <v>6.3591982517752221</v>
      </c>
      <c r="AS39" s="9">
        <v>36.134505108293766</v>
      </c>
      <c r="AT39" s="9">
        <v>7304.9929151170008</v>
      </c>
      <c r="AU39" s="9">
        <v>21.686089171161765</v>
      </c>
      <c r="AV39" s="9">
        <v>5.4006341834306877</v>
      </c>
    </row>
    <row r="40" spans="1:48" x14ac:dyDescent="0.3">
      <c r="A40" s="37">
        <v>2007</v>
      </c>
      <c r="B40" s="30">
        <v>1.9509999999999998</v>
      </c>
      <c r="C40" s="9">
        <v>0.99559023325528118</v>
      </c>
      <c r="D40" s="9">
        <v>0.60787501586731685</v>
      </c>
      <c r="E40" s="9">
        <v>0.60787501586731685</v>
      </c>
      <c r="F40" s="9">
        <v>0.89476523893062854</v>
      </c>
      <c r="G40" s="18">
        <v>1</v>
      </c>
      <c r="H40" s="9">
        <v>435.25411350289801</v>
      </c>
      <c r="I40" s="9">
        <v>1730.9814230245104</v>
      </c>
      <c r="J40" s="9">
        <v>430.3832847344259</v>
      </c>
      <c r="K40" s="9">
        <v>16.906234835352269</v>
      </c>
      <c r="L40" s="9">
        <v>4.5350348053614304</v>
      </c>
      <c r="M40" s="9">
        <v>0.6087780690041058</v>
      </c>
      <c r="N40" s="9">
        <v>0.60787501586731685</v>
      </c>
      <c r="O40" s="9">
        <v>0.60787501586731685</v>
      </c>
      <c r="P40" s="9">
        <v>0.60787501586731685</v>
      </c>
      <c r="Q40" s="9">
        <v>0.60787501586731685</v>
      </c>
      <c r="R40" s="9">
        <v>152.97489168232755</v>
      </c>
      <c r="S40" s="9">
        <v>53.362898394170266</v>
      </c>
      <c r="T40" s="9">
        <v>0.60787501586731685</v>
      </c>
      <c r="U40" s="9">
        <v>3.4223591133445694</v>
      </c>
      <c r="V40" s="9">
        <v>0.60787501586731685</v>
      </c>
      <c r="W40" s="9">
        <v>98.098034696366582</v>
      </c>
      <c r="X40" s="9">
        <v>774.24382427857256</v>
      </c>
      <c r="Y40" s="9">
        <v>0.60903072941351766</v>
      </c>
      <c r="Z40" s="9">
        <v>0.60891543309696339</v>
      </c>
      <c r="AA40" s="9">
        <v>0.60787501586731685</v>
      </c>
      <c r="AB40" s="9">
        <v>9.1040509178104418</v>
      </c>
      <c r="AC40" s="9">
        <v>0.60787501586731685</v>
      </c>
      <c r="AD40" s="9">
        <v>1.1335504483210441</v>
      </c>
      <c r="AE40" s="9">
        <v>4.8832335142272676</v>
      </c>
      <c r="AF40" s="9">
        <v>2.3059220140526668</v>
      </c>
      <c r="AG40" s="9">
        <v>0.60787501586731685</v>
      </c>
      <c r="AH40" s="9">
        <v>0.68287656525466411</v>
      </c>
      <c r="AI40" s="9">
        <v>0.60787501586731685</v>
      </c>
      <c r="AJ40" s="9">
        <v>0.60787501586731685</v>
      </c>
      <c r="AK40" s="9">
        <v>5.6305917848656017</v>
      </c>
      <c r="AL40" s="9">
        <v>1.085444844526934</v>
      </c>
      <c r="AM40" s="9">
        <v>0.41634946012986379</v>
      </c>
      <c r="AN40" s="30">
        <v>0.8330793598340529</v>
      </c>
      <c r="AO40" s="9">
        <v>0.60787501586731685</v>
      </c>
      <c r="AP40" s="30">
        <v>0.60787501586731685</v>
      </c>
      <c r="AQ40" s="9">
        <v>1.6220541098928885</v>
      </c>
      <c r="AR40" s="9">
        <v>6.3376783050167518</v>
      </c>
      <c r="AS40" s="9">
        <v>34.446609679410301</v>
      </c>
      <c r="AT40" s="9">
        <v>7615.1784282430772</v>
      </c>
      <c r="AU40" s="9">
        <v>21.310874282804456</v>
      </c>
      <c r="AV40" s="9">
        <v>5.869348163997242</v>
      </c>
    </row>
    <row r="41" spans="1:48" x14ac:dyDescent="0.3">
      <c r="A41" s="37">
        <v>2008</v>
      </c>
      <c r="B41" s="30">
        <v>1.9990000000000001</v>
      </c>
      <c r="C41" s="9">
        <v>1.100719546236536</v>
      </c>
      <c r="D41" s="9">
        <v>0.62776194041374955</v>
      </c>
      <c r="E41" s="9">
        <v>0.62776194041374955</v>
      </c>
      <c r="F41" s="9">
        <v>0.98522460583453819</v>
      </c>
      <c r="G41" s="18">
        <v>1</v>
      </c>
      <c r="H41" s="9">
        <v>482.38007537077522</v>
      </c>
      <c r="I41" s="9">
        <v>1814.3806147226915</v>
      </c>
      <c r="J41" s="9">
        <v>485.86499131268869</v>
      </c>
      <c r="K41" s="9">
        <v>15.762001926586525</v>
      </c>
      <c r="L41" s="9">
        <v>4.7070241931264523</v>
      </c>
      <c r="M41" s="9">
        <v>0.63106435135879646</v>
      </c>
      <c r="N41" s="9">
        <v>0.62776194041374955</v>
      </c>
      <c r="O41" s="9">
        <v>0.62776194041374955</v>
      </c>
      <c r="P41" s="9">
        <v>0.62776194041374955</v>
      </c>
      <c r="Q41" s="9">
        <v>0.62776194041374955</v>
      </c>
      <c r="R41" s="9">
        <v>158.90953968122039</v>
      </c>
      <c r="S41" s="9">
        <v>81.200931286104193</v>
      </c>
      <c r="T41" s="9">
        <v>0.62776194041374955</v>
      </c>
      <c r="U41" s="9">
        <v>3.3127636614535168</v>
      </c>
      <c r="V41" s="9">
        <v>0.62776194041374955</v>
      </c>
      <c r="W41" s="9">
        <v>95.430198753800695</v>
      </c>
      <c r="X41" s="9">
        <v>1015.7289175722516</v>
      </c>
      <c r="Y41" s="9">
        <v>0.63165616992350215</v>
      </c>
      <c r="Z41" s="9">
        <v>0.63028566895640337</v>
      </c>
      <c r="AA41" s="9">
        <v>0.62776194041374955</v>
      </c>
      <c r="AB41" s="9">
        <v>10.275892738984385</v>
      </c>
      <c r="AC41" s="9">
        <v>0.62776194041374955</v>
      </c>
      <c r="AD41" s="9">
        <v>1.3135813362938351</v>
      </c>
      <c r="AE41" s="9">
        <v>5.2073234911226205</v>
      </c>
      <c r="AF41" s="9">
        <v>2.2244150224511903</v>
      </c>
      <c r="AG41" s="9">
        <v>0.62776194041374955</v>
      </c>
      <c r="AH41" s="9">
        <v>0.65467240198725485</v>
      </c>
      <c r="AI41" s="9">
        <v>0.62776194041374955</v>
      </c>
      <c r="AJ41" s="9">
        <v>0.62776194041374955</v>
      </c>
      <c r="AK41" s="9">
        <v>6.0854584260464586</v>
      </c>
      <c r="AL41" s="9">
        <v>1.2016745633492507</v>
      </c>
      <c r="AM41" s="9">
        <v>0.50223550212817025</v>
      </c>
      <c r="AN41" s="30">
        <v>0.92328430693663488</v>
      </c>
      <c r="AO41" s="9">
        <v>0.62776194041374955</v>
      </c>
      <c r="AP41" s="30">
        <v>0.62776194041374955</v>
      </c>
      <c r="AQ41" s="9">
        <v>1.6930879859168304</v>
      </c>
      <c r="AR41" s="9">
        <v>6.4155841158167828</v>
      </c>
      <c r="AS41" s="9">
        <v>40.167653042067876</v>
      </c>
      <c r="AT41" s="9">
        <v>8954.8998698169107</v>
      </c>
      <c r="AU41" s="9">
        <v>22.946269469757819</v>
      </c>
      <c r="AV41" s="9">
        <v>7.6274578597654203</v>
      </c>
    </row>
    <row r="42" spans="1:48" x14ac:dyDescent="0.3">
      <c r="A42" s="37">
        <v>2009</v>
      </c>
      <c r="B42" s="30">
        <v>1.9890000000000001</v>
      </c>
      <c r="C42" s="9">
        <v>1.1783289018711158</v>
      </c>
      <c r="D42" s="9">
        <v>0.65888266615665503</v>
      </c>
      <c r="E42" s="9">
        <v>0.65888266615665503</v>
      </c>
      <c r="F42" s="9">
        <v>1.0490687102529319</v>
      </c>
      <c r="G42" s="18">
        <v>1</v>
      </c>
      <c r="H42" s="9">
        <v>515.42909967238211</v>
      </c>
      <c r="I42" s="9">
        <v>1982.8284686309528</v>
      </c>
      <c r="J42" s="9">
        <v>526.85046320820595</v>
      </c>
      <c r="K42" s="9">
        <v>17.518858127367807</v>
      </c>
      <c r="L42" s="9">
        <v>4.9266255349666057</v>
      </c>
      <c r="M42" s="9">
        <v>0.66120154075702331</v>
      </c>
      <c r="N42" s="9">
        <v>0.65888266615665503</v>
      </c>
      <c r="O42" s="9">
        <v>0.65888266615665503</v>
      </c>
      <c r="P42" s="9">
        <v>0.65888266615665503</v>
      </c>
      <c r="Q42" s="9">
        <v>0.65888266615665503</v>
      </c>
      <c r="R42" s="9">
        <v>185.95157905830507</v>
      </c>
      <c r="S42" s="9">
        <v>113.62342039933324</v>
      </c>
      <c r="T42" s="9">
        <v>0.65888266615665503</v>
      </c>
      <c r="U42" s="9">
        <v>3.6138082855183895</v>
      </c>
      <c r="V42" s="9">
        <v>0.65888266615665503</v>
      </c>
      <c r="W42" s="9">
        <v>85.990721065997946</v>
      </c>
      <c r="X42" s="9">
        <v>1173.7863163163343</v>
      </c>
      <c r="Y42" s="9">
        <v>0.66106541667284813</v>
      </c>
      <c r="Z42" s="9">
        <v>0.66115082483075061</v>
      </c>
      <c r="AA42" s="9">
        <v>0.65888266615665503</v>
      </c>
      <c r="AB42" s="9">
        <v>12.418855968773629</v>
      </c>
      <c r="AC42" s="9">
        <v>0.65888266615665503</v>
      </c>
      <c r="AD42" s="9">
        <v>1.4712029698512319</v>
      </c>
      <c r="AE42" s="9">
        <v>5.7789655103742605</v>
      </c>
      <c r="AF42" s="9">
        <v>2.8674038291781021</v>
      </c>
      <c r="AG42" s="9">
        <v>0.65888266615665503</v>
      </c>
      <c r="AH42" s="9">
        <v>0.65888266615665503</v>
      </c>
      <c r="AI42" s="9">
        <v>0.65888266615665503</v>
      </c>
      <c r="AJ42" s="9">
        <v>0.65888266615665503</v>
      </c>
      <c r="AK42" s="9">
        <v>7.0338442067545373</v>
      </c>
      <c r="AL42" s="9">
        <v>1.4244098732105746</v>
      </c>
      <c r="AM42" s="9">
        <v>0.58992249417252207</v>
      </c>
      <c r="AN42" s="30">
        <v>0.91899796083343699</v>
      </c>
      <c r="AO42" s="9">
        <v>0.65888266615665503</v>
      </c>
      <c r="AP42" s="30">
        <v>0.65888266615665503</v>
      </c>
      <c r="AQ42" s="9">
        <v>1.83747041395249</v>
      </c>
      <c r="AR42" s="9">
        <v>6.27805742117837</v>
      </c>
      <c r="AS42" s="9">
        <v>44.484341360265347</v>
      </c>
      <c r="AT42" s="9">
        <v>9548.3313756868592</v>
      </c>
      <c r="AU42" s="9">
        <v>29.169324584455893</v>
      </c>
      <c r="AV42" s="9">
        <v>7.7872892721977109</v>
      </c>
    </row>
    <row r="43" spans="1:48" x14ac:dyDescent="0.3">
      <c r="A43" s="37">
        <v>2010</v>
      </c>
      <c r="B43" s="30">
        <v>2.0030000000000001</v>
      </c>
      <c r="C43" s="9">
        <v>1.0453097946555125</v>
      </c>
      <c r="D43" s="9">
        <v>0.72327635121337419</v>
      </c>
      <c r="E43" s="9">
        <v>0.72327635121337419</v>
      </c>
      <c r="F43" s="9">
        <v>0.98773339600771626</v>
      </c>
      <c r="G43" s="18">
        <v>1</v>
      </c>
      <c r="H43" s="9">
        <v>489.25726766757589</v>
      </c>
      <c r="I43" s="9">
        <v>1820.8718188157591</v>
      </c>
      <c r="J43" s="9">
        <v>504.19633153583317</v>
      </c>
      <c r="K43" s="9">
        <v>18.312538701971999</v>
      </c>
      <c r="L43" s="9">
        <v>5.3926978178782443</v>
      </c>
      <c r="M43" s="9">
        <v>0.72355072369782147</v>
      </c>
      <c r="N43" s="9">
        <v>0.72327635121337419</v>
      </c>
      <c r="O43" s="9">
        <v>0.72327635121337419</v>
      </c>
      <c r="P43" s="9">
        <v>0.72327635121337419</v>
      </c>
      <c r="Q43" s="9">
        <v>0.72327635121337419</v>
      </c>
      <c r="R43" s="9">
        <v>199.38924246633263</v>
      </c>
      <c r="S43" s="9">
        <v>117.21272361047419</v>
      </c>
      <c r="T43" s="9">
        <v>0.72327635121337419</v>
      </c>
      <c r="U43" s="9">
        <v>3.5851517491500924</v>
      </c>
      <c r="V43" s="9">
        <v>0.72327635121337419</v>
      </c>
      <c r="W43" s="9">
        <v>84.168568229642219</v>
      </c>
      <c r="X43" s="9">
        <v>1108.8826728774909</v>
      </c>
      <c r="Y43" s="9">
        <v>0.72374516988502802</v>
      </c>
      <c r="Z43" s="9">
        <v>0.72379156388520138</v>
      </c>
      <c r="AA43" s="9">
        <v>0.72327635121337419</v>
      </c>
      <c r="AB43" s="9">
        <v>12.116156801937704</v>
      </c>
      <c r="AC43" s="9">
        <v>0.72327635121337419</v>
      </c>
      <c r="AD43" s="9">
        <v>1.3307376687034527</v>
      </c>
      <c r="AE43" s="9">
        <v>5.7955067089656023</v>
      </c>
      <c r="AF43" s="9">
        <v>2.8912490907835098</v>
      </c>
      <c r="AG43" s="9">
        <v>0.72327635121337419</v>
      </c>
      <c r="AH43" s="9">
        <v>0.72327635121337419</v>
      </c>
      <c r="AI43" s="9">
        <v>0.72327635121337419</v>
      </c>
      <c r="AJ43" s="9">
        <v>0.72327635121337419</v>
      </c>
      <c r="AK43" s="9">
        <v>6.9110031153368343</v>
      </c>
      <c r="AL43" s="9">
        <v>1.4410207057756284</v>
      </c>
      <c r="AM43" s="9">
        <v>0.62055407237246418</v>
      </c>
      <c r="AN43" s="30">
        <v>0.95885951340944842</v>
      </c>
      <c r="AO43" s="9">
        <v>0.72327635121337419</v>
      </c>
      <c r="AP43" s="30">
        <v>0.72327635121337419</v>
      </c>
      <c r="AQ43" s="9">
        <v>1.6868512676905183</v>
      </c>
      <c r="AR43" s="9">
        <v>6.4917368665193456</v>
      </c>
      <c r="AS43" s="9">
        <v>43.844629960797299</v>
      </c>
      <c r="AT43" s="9">
        <v>8716.4484826810276</v>
      </c>
      <c r="AU43" s="9">
        <v>29.11856452454732</v>
      </c>
      <c r="AV43" s="9">
        <v>7.020023327233619</v>
      </c>
    </row>
    <row r="44" spans="1:48" x14ac:dyDescent="0.3">
      <c r="A44" s="37">
        <v>2011</v>
      </c>
      <c r="B44" s="30">
        <v>2.0069999999999997</v>
      </c>
      <c r="C44" s="9">
        <v>1.0916861710209307</v>
      </c>
      <c r="D44" s="9">
        <v>0.80898637206468527</v>
      </c>
      <c r="E44" s="9">
        <v>0.80898637206468527</v>
      </c>
      <c r="F44" s="9">
        <v>1.1139767344295479</v>
      </c>
      <c r="G44" s="18">
        <v>1</v>
      </c>
      <c r="H44" s="9">
        <v>544.64483056920267</v>
      </c>
      <c r="I44" s="9">
        <v>2081.001357969526</v>
      </c>
      <c r="J44" s="9">
        <v>569.41476174392892</v>
      </c>
      <c r="K44" s="9">
        <v>19.926890962662078</v>
      </c>
      <c r="L44" s="9">
        <v>6.0455601924933458</v>
      </c>
      <c r="M44" s="9">
        <v>0.80898637206468527</v>
      </c>
      <c r="N44" s="9">
        <v>0.80898637206468527</v>
      </c>
      <c r="O44" s="9">
        <v>0.80898637206468527</v>
      </c>
      <c r="P44" s="9">
        <v>0.80898637206468527</v>
      </c>
      <c r="Q44" s="9">
        <v>0.80898637206468527</v>
      </c>
      <c r="R44" s="9">
        <v>226.40257286274363</v>
      </c>
      <c r="S44" s="9">
        <v>130.5726937206733</v>
      </c>
      <c r="T44" s="9">
        <v>0.80898637206468527</v>
      </c>
      <c r="U44" s="9">
        <v>4.0292341944433714</v>
      </c>
      <c r="V44" s="9">
        <v>0.80898637206468527</v>
      </c>
      <c r="W44" s="9">
        <v>89.868516687053869</v>
      </c>
      <c r="X44" s="9">
        <v>1247.9514461163385</v>
      </c>
      <c r="Y44" s="9">
        <v>0.80310476067942804</v>
      </c>
      <c r="Z44" s="9">
        <v>0.80916916671899553</v>
      </c>
      <c r="AA44" s="9">
        <v>0.80898637206468527</v>
      </c>
      <c r="AB44" s="9">
        <v>13.989568742433882</v>
      </c>
      <c r="AC44" s="9">
        <v>0.80898637206468527</v>
      </c>
      <c r="AD44" s="9">
        <v>1.4253950336866221</v>
      </c>
      <c r="AE44" s="9">
        <v>6.3111960117208659</v>
      </c>
      <c r="AF44" s="9">
        <v>3.3363823823806897</v>
      </c>
      <c r="AG44" s="9">
        <v>0.80898637206468527</v>
      </c>
      <c r="AH44" s="9">
        <v>0.80898637206468527</v>
      </c>
      <c r="AI44" s="9">
        <v>0.80898637206468527</v>
      </c>
      <c r="AJ44" s="9">
        <v>0.80898637206468527</v>
      </c>
      <c r="AK44" s="9">
        <v>7.3122027189693473</v>
      </c>
      <c r="AL44" s="9">
        <v>1.8861208126854385</v>
      </c>
      <c r="AM44" s="9">
        <v>0.70282803730497068</v>
      </c>
      <c r="AN44" s="30">
        <v>1.1260728301347571</v>
      </c>
      <c r="AO44" s="9">
        <v>0.80898637206468527</v>
      </c>
      <c r="AP44" s="30">
        <v>0.80898637206468527</v>
      </c>
      <c r="AQ44" s="9">
        <v>1.8837270107625912</v>
      </c>
      <c r="AR44" s="9">
        <v>7.2760760427945206</v>
      </c>
      <c r="AS44" s="9">
        <v>52.554344483043103</v>
      </c>
      <c r="AT44" s="9">
        <v>9876.1466851748755</v>
      </c>
      <c r="AU44" s="9">
        <v>33.086656303548928</v>
      </c>
      <c r="AV44" s="9">
        <v>8.1765636102322716</v>
      </c>
    </row>
    <row r="45" spans="1:48" x14ac:dyDescent="0.3">
      <c r="A45" s="37">
        <v>2012</v>
      </c>
      <c r="B45" s="30">
        <v>1.994</v>
      </c>
      <c r="C45" s="9">
        <v>1.0299850861646853</v>
      </c>
      <c r="D45" s="9">
        <v>0.83006398893155087</v>
      </c>
      <c r="E45" s="9">
        <v>0.83006398893155087</v>
      </c>
      <c r="F45" s="9">
        <v>1.0657793363894255</v>
      </c>
      <c r="G45" s="18">
        <v>1</v>
      </c>
      <c r="H45" s="9">
        <v>518.80063432748966</v>
      </c>
      <c r="I45" s="9">
        <v>1917.501786215425</v>
      </c>
      <c r="J45" s="9">
        <v>536.32268884425389</v>
      </c>
      <c r="K45" s="9">
        <v>20.878558196025402</v>
      </c>
      <c r="L45" s="9">
        <v>6.1774249827161478</v>
      </c>
      <c r="M45" s="9">
        <v>0.83006398893155087</v>
      </c>
      <c r="N45" s="9">
        <v>0.83006398893155087</v>
      </c>
      <c r="O45" s="9">
        <v>0.83006398893155087</v>
      </c>
      <c r="P45" s="9">
        <v>0.83006398893155087</v>
      </c>
      <c r="Q45" s="9">
        <v>0.83006398893155087</v>
      </c>
      <c r="R45" s="9">
        <v>240.06387148092389</v>
      </c>
      <c r="S45" s="9">
        <v>133.39539001343408</v>
      </c>
      <c r="T45" s="9">
        <v>0.83006398893155087</v>
      </c>
      <c r="U45" s="9">
        <v>4.1121740891774747</v>
      </c>
      <c r="V45" s="9">
        <v>0.83006398893155087</v>
      </c>
      <c r="W45" s="9">
        <v>85.093074545337274</v>
      </c>
      <c r="X45" s="9">
        <v>1201.6906431193593</v>
      </c>
      <c r="Y45" s="9">
        <v>0.82984525973084478</v>
      </c>
      <c r="Z45" s="9">
        <v>0.82970749574920422</v>
      </c>
      <c r="AA45" s="9">
        <v>0.83006398893155087</v>
      </c>
      <c r="AB45" s="9">
        <v>14.04465852241762</v>
      </c>
      <c r="AC45" s="9">
        <v>0.83006398893155087</v>
      </c>
      <c r="AD45" s="9">
        <v>1.3163102092502978</v>
      </c>
      <c r="AE45" s="9">
        <v>6.2041124916551027</v>
      </c>
      <c r="AF45" s="9">
        <v>3.4729610371743793</v>
      </c>
      <c r="AG45" s="9">
        <v>0.83006398893155087</v>
      </c>
      <c r="AH45" s="9">
        <v>0.83006398893155087</v>
      </c>
      <c r="AI45" s="9">
        <v>0.83006398893155087</v>
      </c>
      <c r="AJ45" s="9">
        <v>0.83006398893155087</v>
      </c>
      <c r="AK45" s="9">
        <v>7.2252617727106863</v>
      </c>
      <c r="AL45" s="9">
        <v>1.9153574377757465</v>
      </c>
      <c r="AM45" s="9">
        <v>0.67511727226031648</v>
      </c>
      <c r="AN45" s="30">
        <v>1.0664568099106322</v>
      </c>
      <c r="AO45" s="9">
        <v>0.83006398893155087</v>
      </c>
      <c r="AP45" s="30">
        <v>0.83006398893155087</v>
      </c>
      <c r="AQ45" s="9">
        <v>2.0828633205568075</v>
      </c>
      <c r="AR45" s="9">
        <v>6.731830329597269</v>
      </c>
      <c r="AS45" s="9">
        <v>56.988501391116735</v>
      </c>
      <c r="AT45" s="9">
        <v>10010.434596897423</v>
      </c>
      <c r="AU45" s="9">
        <v>32.889348161826966</v>
      </c>
      <c r="AV45" s="9">
        <v>8.7555769509830768</v>
      </c>
    </row>
    <row r="46" spans="1:48" x14ac:dyDescent="0.3">
      <c r="A46" s="37">
        <v>2013</v>
      </c>
      <c r="B46" s="30">
        <v>1.9890000000000001</v>
      </c>
      <c r="C46" s="9">
        <v>1.1175306201230066</v>
      </c>
      <c r="D46" s="9">
        <v>0.81232305618313105</v>
      </c>
      <c r="E46" s="9">
        <v>0.81232305618313105</v>
      </c>
      <c r="F46" s="9">
        <v>1.111374928083442</v>
      </c>
      <c r="G46" s="18">
        <v>1</v>
      </c>
      <c r="H46" s="9">
        <v>534.33054479435248</v>
      </c>
      <c r="I46" s="9">
        <v>2016.2777502793274</v>
      </c>
      <c r="J46" s="9">
        <v>539.17889706428457</v>
      </c>
      <c r="K46" s="9">
        <v>21.113937238307859</v>
      </c>
      <c r="L46" s="9">
        <v>6.0592191061942406</v>
      </c>
      <c r="M46" s="9">
        <v>0.81232305618313105</v>
      </c>
      <c r="N46" s="9">
        <v>0.81232305618313105</v>
      </c>
      <c r="O46" s="9">
        <v>0.81232305618313105</v>
      </c>
      <c r="P46" s="9">
        <v>0.81232305618313105</v>
      </c>
      <c r="Q46" s="9">
        <v>0.81232305618313105</v>
      </c>
      <c r="R46" s="9">
        <v>241.33579005173331</v>
      </c>
      <c r="S46" s="9">
        <v>131.81427734951299</v>
      </c>
      <c r="T46" s="9">
        <v>0.81232305618313105</v>
      </c>
      <c r="U46" s="9">
        <v>3.8955060017473753</v>
      </c>
      <c r="V46" s="9">
        <v>0.81232305618313105</v>
      </c>
      <c r="W46" s="9">
        <v>105.2921401732398</v>
      </c>
      <c r="X46" s="9">
        <v>1181.3338104576414</v>
      </c>
      <c r="Y46" s="9">
        <v>0.81265896662677217</v>
      </c>
      <c r="Z46" s="9">
        <v>0.81271032302479129</v>
      </c>
      <c r="AA46" s="9">
        <v>0.81232305618313105</v>
      </c>
      <c r="AB46" s="9">
        <v>13.779202482885795</v>
      </c>
      <c r="AC46" s="9">
        <v>0.81232305618313105</v>
      </c>
      <c r="AD46" s="9">
        <v>1.3155715898352291</v>
      </c>
      <c r="AE46" s="9">
        <v>6.3383078144524161</v>
      </c>
      <c r="AF46" s="9">
        <v>3.4098657560547814</v>
      </c>
      <c r="AG46" s="9">
        <v>0.81232305618313105</v>
      </c>
      <c r="AH46" s="9">
        <v>0.81232305618313105</v>
      </c>
      <c r="AI46" s="9">
        <v>0.81232305618313105</v>
      </c>
      <c r="AJ46" s="9">
        <v>0.81232305618313105</v>
      </c>
      <c r="AK46" s="9">
        <v>7.0276693647582853</v>
      </c>
      <c r="AL46" s="9">
        <v>2.0539011281721522</v>
      </c>
      <c r="AM46" s="9">
        <v>0.69010478939313036</v>
      </c>
      <c r="AN46" s="30">
        <v>1.0788609045876454</v>
      </c>
      <c r="AO46" s="9">
        <v>0.81232305618313105</v>
      </c>
      <c r="AP46" s="30">
        <v>0.81232305618313105</v>
      </c>
      <c r="AQ46" s="9">
        <v>2.3261202921033277</v>
      </c>
      <c r="AR46" s="9">
        <v>6.6843614538608147</v>
      </c>
      <c r="AS46" s="9">
        <v>63.218924513111936</v>
      </c>
      <c r="AT46" s="9">
        <v>11286.222849508458</v>
      </c>
      <c r="AU46" s="9">
        <v>34.347849587240688</v>
      </c>
      <c r="AV46" s="9">
        <v>10.416462524591701</v>
      </c>
    </row>
    <row r="47" spans="1:48" x14ac:dyDescent="0.3">
      <c r="A47" s="37">
        <v>2014</v>
      </c>
      <c r="B47" s="30">
        <v>1.9890000000000001</v>
      </c>
      <c r="C47" s="9">
        <v>1.210895622622679</v>
      </c>
      <c r="D47" s="9">
        <v>0.82162018933934577</v>
      </c>
      <c r="E47" s="9">
        <v>0.82162018933934577</v>
      </c>
      <c r="F47" s="9">
        <v>1.2058569770284433</v>
      </c>
      <c r="G47" s="18">
        <v>1</v>
      </c>
      <c r="H47" s="9">
        <v>622.54823352385051</v>
      </c>
      <c r="I47" s="9">
        <v>2184.2522648784548</v>
      </c>
      <c r="J47" s="9">
        <v>587.58564089968365</v>
      </c>
      <c r="K47" s="9">
        <v>22.657290041359413</v>
      </c>
      <c r="L47" s="9">
        <v>6.1261368235157496</v>
      </c>
      <c r="M47" s="9">
        <v>0.82162018933934577</v>
      </c>
      <c r="N47" s="9">
        <v>0.82162018933934577</v>
      </c>
      <c r="O47" s="9">
        <v>0.82162018933934577</v>
      </c>
      <c r="P47" s="9">
        <v>0.82162018933934577</v>
      </c>
      <c r="Q47" s="9">
        <v>0.82162018933934577</v>
      </c>
      <c r="R47" s="9">
        <v>253.89008434398426</v>
      </c>
      <c r="S47" s="9">
        <v>127.45425861064406</v>
      </c>
      <c r="T47" s="9">
        <v>0.82162018933934577</v>
      </c>
      <c r="U47" s="9">
        <v>3.9053876657223112</v>
      </c>
      <c r="V47" s="9">
        <v>0.82162018933934577</v>
      </c>
      <c r="W47" s="9">
        <v>115.64117221516058</v>
      </c>
      <c r="X47" s="9">
        <v>1149.1991447498419</v>
      </c>
      <c r="Y47" s="9">
        <v>0.82162018933934577</v>
      </c>
      <c r="Z47" s="9">
        <v>0.82202222322520779</v>
      </c>
      <c r="AA47" s="9">
        <v>0.82162018933934577</v>
      </c>
      <c r="AB47" s="9">
        <v>14.509015777924507</v>
      </c>
      <c r="AC47" s="9">
        <v>0.82162018933934577</v>
      </c>
      <c r="AD47" s="9">
        <v>1.3157582877926504</v>
      </c>
      <c r="AE47" s="9">
        <v>6.8784145205652445</v>
      </c>
      <c r="AF47" s="9">
        <v>3.4432549916521662</v>
      </c>
      <c r="AG47" s="9">
        <v>0.82162018933934577</v>
      </c>
      <c r="AH47" s="9">
        <v>0.82162018933934577</v>
      </c>
      <c r="AI47" s="9">
        <v>0.82162018933934577</v>
      </c>
      <c r="AJ47" s="9">
        <v>0.82162018933934577</v>
      </c>
      <c r="AK47" s="9">
        <v>7.488705077991475</v>
      </c>
      <c r="AL47" s="9">
        <v>2.3888445297789662</v>
      </c>
      <c r="AM47" s="9">
        <v>0.66335090559594168</v>
      </c>
      <c r="AN47" s="30">
        <v>1.0915230659452926</v>
      </c>
      <c r="AO47" s="9">
        <v>0.82162018933934577</v>
      </c>
      <c r="AP47" s="30">
        <v>0.82162018933934577</v>
      </c>
      <c r="AQ47" s="9">
        <v>2.568301340421081</v>
      </c>
      <c r="AR47" s="9">
        <v>6.7057000182491162</v>
      </c>
      <c r="AS47" s="9">
        <v>66.61512273738785</v>
      </c>
      <c r="AT47" s="9">
        <v>12951.151812222059</v>
      </c>
      <c r="AU47" s="9">
        <v>41.890698327757356</v>
      </c>
      <c r="AV47" s="9">
        <v>11.845923880086273</v>
      </c>
    </row>
    <row r="48" spans="1:48" x14ac:dyDescent="0.3">
      <c r="A48" s="37">
        <v>2015</v>
      </c>
      <c r="B48" s="30">
        <v>1.966</v>
      </c>
      <c r="C48" s="9">
        <v>1.3831214547930089</v>
      </c>
      <c r="D48" s="9">
        <v>0.93652733811458289</v>
      </c>
      <c r="E48" s="9">
        <v>0.93652733811458289</v>
      </c>
      <c r="F48" s="9">
        <v>1.3287728745499461</v>
      </c>
      <c r="G48" s="18">
        <v>1</v>
      </c>
      <c r="H48" s="9">
        <v>679.69324135851957</v>
      </c>
      <c r="I48" s="9">
        <v>2848.9555926362023</v>
      </c>
      <c r="J48" s="9">
        <v>555.46149370726312</v>
      </c>
      <c r="K48" s="9">
        <v>25.56029432845429</v>
      </c>
      <c r="L48" s="9">
        <v>6.990895017931865</v>
      </c>
      <c r="M48" s="9">
        <v>0.93652733811458289</v>
      </c>
      <c r="N48" s="9">
        <v>0.93652733811458289</v>
      </c>
      <c r="O48" s="9">
        <v>0.93652733811458289</v>
      </c>
      <c r="P48" s="9">
        <v>0.93652733811458289</v>
      </c>
      <c r="Q48" s="9">
        <v>0.93652733811458289</v>
      </c>
      <c r="R48" s="9">
        <v>290.25137112670188</v>
      </c>
      <c r="S48" s="9">
        <v>137.07529914881638</v>
      </c>
      <c r="T48" s="9">
        <v>0.93652733811458289</v>
      </c>
      <c r="U48" s="9">
        <v>4.0387663603088368</v>
      </c>
      <c r="V48" s="9">
        <v>0.93652733811458289</v>
      </c>
      <c r="W48" s="9">
        <v>125.77553425211859</v>
      </c>
      <c r="X48" s="9">
        <v>1175.1604765080017</v>
      </c>
      <c r="Y48" s="9">
        <v>0.93652733811458289</v>
      </c>
      <c r="Z48" s="9">
        <v>0.93652733811458289</v>
      </c>
      <c r="AA48" s="9">
        <v>0.93652733811458289</v>
      </c>
      <c r="AB48" s="9">
        <v>16.467762003997336</v>
      </c>
      <c r="AC48" s="9">
        <v>0.93652733811458289</v>
      </c>
      <c r="AD48" s="9">
        <v>1.4900278696944049</v>
      </c>
      <c r="AE48" s="9">
        <v>8.3793881198723508</v>
      </c>
      <c r="AF48" s="9">
        <v>3.9168465662323673</v>
      </c>
      <c r="AG48" s="9">
        <v>0.93652733811458289</v>
      </c>
      <c r="AH48" s="9">
        <v>0.93652733811458289</v>
      </c>
      <c r="AI48" s="9">
        <v>0.93652733811458289</v>
      </c>
      <c r="AJ48" s="9">
        <v>0.93652733811458289</v>
      </c>
      <c r="AK48" s="9">
        <v>8.7645516261462308</v>
      </c>
      <c r="AL48" s="9">
        <v>2.8263313602999101</v>
      </c>
      <c r="AM48" s="9">
        <v>0.68013110799720822</v>
      </c>
      <c r="AN48" s="30">
        <v>1.0390891540608482</v>
      </c>
      <c r="AO48" s="9">
        <v>0.93652733811458289</v>
      </c>
      <c r="AP48" s="30">
        <v>0.93652733811458289</v>
      </c>
      <c r="AQ48" s="9">
        <v>3.4569502607325506</v>
      </c>
      <c r="AR48" s="9">
        <v>6.4709159371350209</v>
      </c>
      <c r="AS48" s="9">
        <v>66.659589703706672</v>
      </c>
      <c r="AT48" s="9">
        <v>13912.793761567373</v>
      </c>
      <c r="AU48" s="9">
        <v>63.319651302107765</v>
      </c>
      <c r="AV48" s="9">
        <v>13.257666696029949</v>
      </c>
    </row>
    <row r="49" spans="1:50" x14ac:dyDescent="0.3">
      <c r="A49" s="37">
        <v>2016</v>
      </c>
      <c r="B49" s="30">
        <v>1.9580000000000002</v>
      </c>
      <c r="C49" s="9">
        <v>1.3651528604953929</v>
      </c>
      <c r="D49" s="9">
        <v>0.91681203133858735</v>
      </c>
      <c r="E49" s="9">
        <v>0.91681203133858735</v>
      </c>
      <c r="F49" s="9">
        <v>1.3452635528377319</v>
      </c>
      <c r="G49" s="18">
        <v>1</v>
      </c>
      <c r="H49" s="9">
        <v>686.99166546756112</v>
      </c>
      <c r="I49" s="9">
        <v>3100.5402687940218</v>
      </c>
      <c r="J49" s="9">
        <v>552.81354390744832</v>
      </c>
      <c r="K49" s="9">
        <v>24.802167344778084</v>
      </c>
      <c r="L49" s="9">
        <v>6.8314964003882768</v>
      </c>
      <c r="M49" s="9">
        <v>0.91681203133858735</v>
      </c>
      <c r="N49" s="9">
        <v>0.91681203133858735</v>
      </c>
      <c r="O49" s="9">
        <v>0.91681203133858735</v>
      </c>
      <c r="P49" s="9">
        <v>0.91681203133858735</v>
      </c>
      <c r="Q49" s="9">
        <v>0.91681203133858735</v>
      </c>
      <c r="R49" s="9">
        <v>285.69609790512459</v>
      </c>
      <c r="S49" s="9">
        <v>122.60222787021539</v>
      </c>
      <c r="T49" s="9">
        <v>0.91681203133858735</v>
      </c>
      <c r="U49" s="9">
        <v>3.8974918967444641</v>
      </c>
      <c r="V49" s="9">
        <v>0.91681203133858735</v>
      </c>
      <c r="W49" s="9">
        <v>110.40543835263894</v>
      </c>
      <c r="X49" s="9">
        <v>1177.972501953966</v>
      </c>
      <c r="Y49" s="9">
        <v>0.91681203133858735</v>
      </c>
      <c r="Z49" s="9">
        <v>0.91681203133858735</v>
      </c>
      <c r="AA49" s="9">
        <v>0.91681203133858735</v>
      </c>
      <c r="AB49" s="9">
        <v>18.940698711439975</v>
      </c>
      <c r="AC49" s="9">
        <v>0.91681203133858735</v>
      </c>
      <c r="AD49" s="9">
        <v>1.4578173048172189</v>
      </c>
      <c r="AE49" s="9">
        <v>8.5245055675777586</v>
      </c>
      <c r="AF49" s="9">
        <v>4.001223628184853</v>
      </c>
      <c r="AG49" s="9">
        <v>0.91681203133858735</v>
      </c>
      <c r="AH49" s="9">
        <v>0.91681203133858735</v>
      </c>
      <c r="AI49" s="9">
        <v>0.91681203133858735</v>
      </c>
      <c r="AJ49" s="9">
        <v>0.91681203133858735</v>
      </c>
      <c r="AK49" s="9">
        <v>8.6888982895302753</v>
      </c>
      <c r="AL49" s="9">
        <v>3.064899461291271</v>
      </c>
      <c r="AM49" s="9">
        <v>0.75161221539592371</v>
      </c>
      <c r="AN49" s="30">
        <v>1.0148220913783046</v>
      </c>
      <c r="AO49" s="9">
        <v>0.91681203133858735</v>
      </c>
      <c r="AP49" s="30">
        <v>0.91681203133858735</v>
      </c>
      <c r="AQ49" s="9">
        <v>3.543061988137552</v>
      </c>
      <c r="AR49" s="9">
        <v>6.7429628869959792</v>
      </c>
      <c r="AS49" s="9">
        <v>68.191287874014179</v>
      </c>
      <c r="AT49" s="9">
        <v>13505.584038006486</v>
      </c>
      <c r="AU49" s="9">
        <v>68.049842504657462</v>
      </c>
      <c r="AV49" s="9">
        <v>14.927638082211281</v>
      </c>
    </row>
    <row r="50" spans="1:50" x14ac:dyDescent="0.3">
      <c r="A50" s="37">
        <v>2017</v>
      </c>
      <c r="B50" s="30">
        <v>1.9680000000000002</v>
      </c>
      <c r="C50" s="9">
        <v>1.325042265395348</v>
      </c>
      <c r="D50" s="9">
        <v>0.89896719778885714</v>
      </c>
      <c r="E50" s="9">
        <v>0.89896719778885714</v>
      </c>
      <c r="F50" s="9">
        <v>1.3181139745541914</v>
      </c>
      <c r="G50" s="18">
        <v>1</v>
      </c>
      <c r="H50" s="9">
        <v>658.92077140722029</v>
      </c>
      <c r="I50" s="9">
        <v>2997.3716759408057</v>
      </c>
      <c r="J50" s="9">
        <v>576.33583132768842</v>
      </c>
      <c r="K50" s="9">
        <v>23.739749329316265</v>
      </c>
      <c r="L50" s="9">
        <v>6.7055441709645507</v>
      </c>
      <c r="M50" s="9">
        <v>0.89896719778885714</v>
      </c>
      <c r="N50" s="9">
        <v>0.89896719778885714</v>
      </c>
      <c r="O50" s="9">
        <v>0.89896719778885714</v>
      </c>
      <c r="P50" s="9">
        <v>0.89896719778885714</v>
      </c>
      <c r="Q50" s="9">
        <v>0.89896719778885714</v>
      </c>
      <c r="R50" s="9">
        <v>278.69976219290288</v>
      </c>
      <c r="S50" s="9">
        <v>108.50053436083959</v>
      </c>
      <c r="T50" s="9">
        <v>0.89896719778885714</v>
      </c>
      <c r="U50" s="9">
        <v>3.6555153963203466</v>
      </c>
      <c r="V50" s="9">
        <v>0.89896719778885714</v>
      </c>
      <c r="W50" s="9">
        <v>113.90991198450048</v>
      </c>
      <c r="X50" s="9">
        <v>1148.5837360256569</v>
      </c>
      <c r="Y50" s="9">
        <v>0.89896719778885714</v>
      </c>
      <c r="Z50" s="9">
        <v>0.89896719778885714</v>
      </c>
      <c r="AA50" s="9">
        <v>0.89896719778885714</v>
      </c>
      <c r="AB50" s="9">
        <v>19.22075438165918</v>
      </c>
      <c r="AC50" s="9">
        <v>0.89896719778885714</v>
      </c>
      <c r="AD50" s="9">
        <v>1.4292883559151319</v>
      </c>
      <c r="AE50" s="9">
        <v>8.4002606568892109</v>
      </c>
      <c r="AF50" s="9">
        <v>3.8380880647918549</v>
      </c>
      <c r="AG50" s="9">
        <v>0.89896719778885714</v>
      </c>
      <c r="AH50" s="9">
        <v>0.89896719778885714</v>
      </c>
      <c r="AI50" s="9">
        <v>0.89896719778885714</v>
      </c>
      <c r="AJ50" s="9">
        <v>0.89896719778885714</v>
      </c>
      <c r="AK50" s="9">
        <v>8.6817641732183546</v>
      </c>
      <c r="AL50" s="9">
        <v>3.7048476785816158</v>
      </c>
      <c r="AM50" s="9">
        <v>0.7890558117286689</v>
      </c>
      <c r="AN50" s="30">
        <v>1.015546321606595</v>
      </c>
      <c r="AO50" s="9">
        <v>0.89896719778885714</v>
      </c>
      <c r="AP50" s="30">
        <v>0.89896719778885714</v>
      </c>
      <c r="AQ50" s="9">
        <v>3.2410038130045606</v>
      </c>
      <c r="AR50" s="9">
        <v>6.8638288665683591</v>
      </c>
      <c r="AS50" s="9">
        <v>66.133969494748058</v>
      </c>
      <c r="AT50" s="9">
        <v>13588.856625734732</v>
      </c>
      <c r="AU50" s="9">
        <v>59.249817135826213</v>
      </c>
      <c r="AV50" s="9">
        <v>13.530937526466772</v>
      </c>
    </row>
    <row r="51" spans="1:50" x14ac:dyDescent="0.3">
      <c r="A51" s="37">
        <v>2018</v>
      </c>
      <c r="B51" s="30">
        <v>1.9869999999999999</v>
      </c>
      <c r="C51" s="9">
        <v>1.3686711852517754</v>
      </c>
      <c r="D51" s="9">
        <v>0.86591664084274222</v>
      </c>
      <c r="E51" s="9">
        <v>0.86591664084274222</v>
      </c>
      <c r="F51" s="9">
        <v>1.3251139899293523</v>
      </c>
      <c r="G51" s="18">
        <v>1</v>
      </c>
      <c r="H51" s="9">
        <v>655.7749032183807</v>
      </c>
      <c r="I51" s="9">
        <v>3022.5270045029752</v>
      </c>
      <c r="J51" s="9">
        <v>590.01678909362522</v>
      </c>
      <c r="K51" s="9">
        <v>22.221190145465957</v>
      </c>
      <c r="L51" s="9">
        <v>6.4573807119057127</v>
      </c>
      <c r="M51" s="9">
        <v>0.86591664084274222</v>
      </c>
      <c r="N51" s="9">
        <v>0.86591664084274222</v>
      </c>
      <c r="O51" s="9">
        <v>0.86591664084274222</v>
      </c>
      <c r="P51" s="9">
        <v>0.86591664084274222</v>
      </c>
      <c r="Q51" s="9">
        <v>0.86591664084274222</v>
      </c>
      <c r="R51" s="9">
        <v>276.32065583270082</v>
      </c>
      <c r="S51" s="9">
        <v>110.748644249918</v>
      </c>
      <c r="T51" s="9">
        <v>0.86591664084274222</v>
      </c>
      <c r="U51" s="9">
        <v>3.6717340471245508</v>
      </c>
      <c r="V51" s="9">
        <v>0.86591664084274222</v>
      </c>
      <c r="W51" s="9">
        <v>112.9196444811304</v>
      </c>
      <c r="X51" s="9">
        <v>1125.0360043290386</v>
      </c>
      <c r="Y51" s="9">
        <v>0.86591664084274222</v>
      </c>
      <c r="Z51" s="9">
        <v>0.86591664084274222</v>
      </c>
      <c r="AA51" s="9">
        <v>0.86591664084274222</v>
      </c>
      <c r="AB51" s="9">
        <v>19.679420862910799</v>
      </c>
      <c r="AC51" s="9">
        <v>0.86591664084274222</v>
      </c>
      <c r="AD51" s="9">
        <v>1.4779329680349707</v>
      </c>
      <c r="AE51" s="9">
        <v>8.3163608784204168</v>
      </c>
      <c r="AF51" s="9">
        <v>3.6933709425890688</v>
      </c>
      <c r="AG51" s="9">
        <v>0.86591664084274222</v>
      </c>
      <c r="AH51" s="9">
        <v>0.86591664084274222</v>
      </c>
      <c r="AI51" s="9">
        <v>0.86591664084274222</v>
      </c>
      <c r="AJ51" s="9">
        <v>0.86591664084274222</v>
      </c>
      <c r="AK51" s="9">
        <v>8.8890401970225081</v>
      </c>
      <c r="AL51" s="9">
        <v>4.9375307222607381</v>
      </c>
      <c r="AM51" s="9">
        <v>0.76647707083420613</v>
      </c>
      <c r="AN51" s="30">
        <v>1.0226081621174812</v>
      </c>
      <c r="AO51" s="9">
        <v>0.86591664084274222</v>
      </c>
      <c r="AP51" s="30">
        <v>0.86591664084274222</v>
      </c>
      <c r="AQ51" s="9">
        <v>3.7364316375783471</v>
      </c>
      <c r="AR51" s="9">
        <v>6.765531809782332</v>
      </c>
      <c r="AS51" s="9">
        <v>69.935627252721048</v>
      </c>
      <c r="AT51" s="9">
        <v>14558.809793329228</v>
      </c>
      <c r="AU51" s="9">
        <v>64.084944651333231</v>
      </c>
      <c r="AV51" s="9">
        <v>13.533121226703683</v>
      </c>
    </row>
    <row r="52" spans="1:50" x14ac:dyDescent="0.3">
      <c r="A52" s="37">
        <v>2019</v>
      </c>
      <c r="B52" s="30">
        <v>1.994</v>
      </c>
      <c r="C52" s="9">
        <v>1.4476132378240893</v>
      </c>
      <c r="D52" s="9">
        <v>0.89893128395287547</v>
      </c>
      <c r="E52" s="9">
        <v>0.89893128395287547</v>
      </c>
      <c r="F52" s="9">
        <v>1.3351928382735603</v>
      </c>
      <c r="G52" s="18">
        <v>1</v>
      </c>
      <c r="H52" s="9">
        <v>707.34722606952744</v>
      </c>
      <c r="I52" s="9">
        <v>3302.3970230906316</v>
      </c>
      <c r="J52" s="9">
        <v>591.01255718125788</v>
      </c>
      <c r="K52" s="9">
        <v>23.077426242252319</v>
      </c>
      <c r="L52" s="9">
        <v>6.7116686035736528</v>
      </c>
      <c r="M52" s="9">
        <v>0.89893128395287547</v>
      </c>
      <c r="N52" s="9">
        <v>0.89893128395287547</v>
      </c>
      <c r="O52" s="9">
        <v>0.89893128395287547</v>
      </c>
      <c r="P52" s="9">
        <v>0.89893128395287547</v>
      </c>
      <c r="Q52" s="9">
        <v>0.89893128395287547</v>
      </c>
      <c r="R52" s="9">
        <v>292.50006918523297</v>
      </c>
      <c r="S52" s="9">
        <v>123.38295520930194</v>
      </c>
      <c r="T52" s="9">
        <v>0.89893128395287547</v>
      </c>
      <c r="U52" s="9">
        <v>3.5870931517799112</v>
      </c>
      <c r="V52" s="9">
        <v>0.89893128395287547</v>
      </c>
      <c r="W52" s="9">
        <v>109.69976886348847</v>
      </c>
      <c r="X52" s="9">
        <v>1172.7349803052714</v>
      </c>
      <c r="Y52" s="9">
        <v>0.89893128395287547</v>
      </c>
      <c r="Z52" s="9">
        <v>0.89893128395287547</v>
      </c>
      <c r="AA52" s="9">
        <v>0.89893128395287547</v>
      </c>
      <c r="AB52" s="9">
        <v>19.385584816483004</v>
      </c>
      <c r="AC52" s="9">
        <v>0.89893128395287547</v>
      </c>
      <c r="AD52" s="9">
        <v>1.5274841481956083</v>
      </c>
      <c r="AE52" s="9">
        <v>8.8557097943647118</v>
      </c>
      <c r="AF52" s="9">
        <v>3.8636807717885291</v>
      </c>
      <c r="AG52" s="9">
        <v>0.89893128395287547</v>
      </c>
      <c r="AH52" s="9">
        <v>0.89893128395287547</v>
      </c>
      <c r="AI52" s="9">
        <v>0.89893128395287547</v>
      </c>
      <c r="AJ52" s="9">
        <v>0.89893128395287547</v>
      </c>
      <c r="AK52" s="9">
        <v>9.5182267447467428</v>
      </c>
      <c r="AL52" s="9">
        <v>5.7097383205875065</v>
      </c>
      <c r="AM52" s="9">
        <v>0.78840483341815759</v>
      </c>
      <c r="AN52" s="30">
        <v>1.0063306584505367</v>
      </c>
      <c r="AO52" s="9">
        <v>0.89893128395287547</v>
      </c>
      <c r="AP52" s="30">
        <v>0.89893128395287547</v>
      </c>
      <c r="AQ52" s="9">
        <v>3.9694421965354074</v>
      </c>
      <c r="AR52" s="9">
        <v>6.9521196358716768</v>
      </c>
      <c r="AS52" s="9">
        <v>70.866147659858612</v>
      </c>
      <c r="AT52" s="9">
        <v>14237.235435799452</v>
      </c>
      <c r="AU52" s="9">
        <v>65.14749033712917</v>
      </c>
      <c r="AV52" s="9">
        <v>14.539895111664942</v>
      </c>
    </row>
    <row r="53" spans="1:50" x14ac:dyDescent="0.3">
      <c r="A53" s="37">
        <v>2020</v>
      </c>
      <c r="B53" s="30">
        <v>1.9790000000000001</v>
      </c>
      <c r="C53" s="9">
        <v>1.5475391718223364</v>
      </c>
      <c r="D53" s="9">
        <v>0.93241643403960528</v>
      </c>
      <c r="E53" s="9">
        <v>0.93241643403960528</v>
      </c>
      <c r="F53" s="9">
        <v>1.4283308453710841</v>
      </c>
      <c r="G53" s="18">
        <v>1</v>
      </c>
      <c r="H53" s="9">
        <v>844.25639518317291</v>
      </c>
      <c r="I53" s="9">
        <v>3933.3477108660386</v>
      </c>
      <c r="J53" s="9">
        <v>622.92082767973568</v>
      </c>
      <c r="K53" s="9">
        <v>24.718972485662402</v>
      </c>
      <c r="L53" s="9">
        <v>6.9674079482905755</v>
      </c>
      <c r="M53" s="9">
        <v>0.93241643403960528</v>
      </c>
      <c r="N53" s="9">
        <v>0.93241643403960528</v>
      </c>
      <c r="O53" s="9">
        <v>0.93241643403960528</v>
      </c>
      <c r="P53" s="9">
        <v>0.93241643403960528</v>
      </c>
      <c r="Q53" s="9">
        <v>0.93241643403960528</v>
      </c>
      <c r="R53" s="9">
        <v>328.01719623912072</v>
      </c>
      <c r="S53" s="9">
        <v>144.22445099572826</v>
      </c>
      <c r="T53" s="9">
        <v>0.93241643403960528</v>
      </c>
      <c r="U53" s="9">
        <v>3.6661705729051883</v>
      </c>
      <c r="V53" s="9">
        <v>0.93241643403960528</v>
      </c>
      <c r="W53" s="9">
        <v>113.71518881154994</v>
      </c>
      <c r="X53" s="9">
        <v>1256.985972143083</v>
      </c>
      <c r="Y53" s="9">
        <v>0.93241643403960528</v>
      </c>
      <c r="Z53" s="9">
        <v>0.93241643403960528</v>
      </c>
      <c r="AA53" s="9">
        <v>0.93241643403960528</v>
      </c>
      <c r="AB53" s="9">
        <v>22.882224932061682</v>
      </c>
      <c r="AC53" s="9">
        <v>0.93241643403960528</v>
      </c>
      <c r="AD53" s="9">
        <v>1.6422958612230807</v>
      </c>
      <c r="AE53" s="9">
        <v>10.027885313439084</v>
      </c>
      <c r="AF53" s="9">
        <v>4.1532343236080784</v>
      </c>
      <c r="AG53" s="9">
        <v>0.93241643403960528</v>
      </c>
      <c r="AH53" s="9">
        <v>0.93241643403960528</v>
      </c>
      <c r="AI53" s="9">
        <v>0.93241643403960528</v>
      </c>
      <c r="AJ53" s="9">
        <v>0.93241643403960528</v>
      </c>
      <c r="AK53" s="9">
        <v>9.8090014307464592</v>
      </c>
      <c r="AL53" s="9">
        <v>7.4641817486117263</v>
      </c>
      <c r="AM53" s="9">
        <v>0.83070143902824167</v>
      </c>
      <c r="AN53" s="30">
        <v>1.0650024228805119</v>
      </c>
      <c r="AO53" s="9">
        <v>0.93241643403960528</v>
      </c>
      <c r="AP53" s="30">
        <v>0.93241643403960528</v>
      </c>
      <c r="AQ53" s="9">
        <v>5.4902778990833525</v>
      </c>
      <c r="AR53" s="9">
        <v>7.3493338616979758</v>
      </c>
      <c r="AS53" s="9">
        <v>78.9162182654361</v>
      </c>
      <c r="AT53" s="9">
        <v>15530.082024162455</v>
      </c>
      <c r="AU53" s="9">
        <v>76.791902076577188</v>
      </c>
      <c r="AV53" s="9">
        <v>17.52898711915066</v>
      </c>
    </row>
    <row r="54" spans="1:50" x14ac:dyDescent="0.3">
      <c r="A54" s="37">
        <v>2021</v>
      </c>
      <c r="B54" s="30">
        <v>1.9909999999999999</v>
      </c>
      <c r="C54" s="9">
        <v>1.4567273942860168</v>
      </c>
      <c r="D54" s="9">
        <v>0.92520434853484623</v>
      </c>
      <c r="E54" s="9">
        <v>0.92520434853484623</v>
      </c>
      <c r="F54" s="9">
        <v>1.372088000394075</v>
      </c>
      <c r="G54" s="18">
        <v>1</v>
      </c>
      <c r="H54" s="9">
        <v>830.50701877210577</v>
      </c>
      <c r="I54" s="9">
        <v>4097.2383197384625</v>
      </c>
      <c r="J54" s="9">
        <v>679.31011705739706</v>
      </c>
      <c r="K54" s="9">
        <v>23.721907871039452</v>
      </c>
      <c r="L54" s="9">
        <v>6.8798399611531877</v>
      </c>
      <c r="M54" s="9">
        <v>0.92520434853484623</v>
      </c>
      <c r="N54" s="9">
        <v>0.92520434853484623</v>
      </c>
      <c r="O54" s="9">
        <v>0.92520434853484623</v>
      </c>
      <c r="P54" s="9">
        <v>0.92520434853484623</v>
      </c>
      <c r="Q54" s="9">
        <v>0.92520434853484623</v>
      </c>
      <c r="R54" s="9">
        <v>331.71988345955481</v>
      </c>
      <c r="S54" s="9">
        <v>138.96092269891298</v>
      </c>
      <c r="T54" s="9">
        <v>0.92520434853484623</v>
      </c>
      <c r="U54" s="9">
        <v>3.5347300438284952</v>
      </c>
      <c r="V54" s="9">
        <v>0.92520434853484623</v>
      </c>
      <c r="W54" s="9">
        <v>120.10157494407831</v>
      </c>
      <c r="X54" s="9">
        <v>1251.7994008836213</v>
      </c>
      <c r="Y54" s="9">
        <v>0.92520434853484623</v>
      </c>
      <c r="Z54" s="9">
        <v>0.92520434853484623</v>
      </c>
      <c r="AA54" s="9">
        <v>0.92520434853484623</v>
      </c>
      <c r="AB54" s="9">
        <v>22.18361959302031</v>
      </c>
      <c r="AC54" s="9">
        <v>0.92520434853484623</v>
      </c>
      <c r="AD54" s="9">
        <v>1.5470880846969999</v>
      </c>
      <c r="AE54" s="9">
        <v>9.399834946631227</v>
      </c>
      <c r="AF54" s="9">
        <v>4.2260045686042904</v>
      </c>
      <c r="AG54" s="9">
        <v>0.92520434853484623</v>
      </c>
      <c r="AH54" s="9">
        <v>0.92520434853484623</v>
      </c>
      <c r="AI54" s="9">
        <v>0.92520434853484623</v>
      </c>
      <c r="AJ54" s="9">
        <v>0.92520434853484623</v>
      </c>
      <c r="AK54" s="9">
        <v>9.3851352200075127</v>
      </c>
      <c r="AL54" s="9">
        <v>9.6847928025239227</v>
      </c>
      <c r="AM54" s="9">
        <v>0.79561006700253656</v>
      </c>
      <c r="AN54" s="30">
        <v>1.0942764780711558</v>
      </c>
      <c r="AO54" s="9">
        <v>0.92520434853484623</v>
      </c>
      <c r="AP54" s="30">
        <v>0.92520434853484623</v>
      </c>
      <c r="AQ54" s="9">
        <v>5.9029658973751395</v>
      </c>
      <c r="AR54" s="9">
        <v>7.0569618474047813</v>
      </c>
      <c r="AS54" s="9">
        <v>80.886742729692884</v>
      </c>
      <c r="AT54" s="9">
        <v>15657.065315929041</v>
      </c>
      <c r="AU54" s="9">
        <v>80.598222712620213</v>
      </c>
      <c r="AV54" s="9">
        <v>16.171959946471574</v>
      </c>
    </row>
    <row r="55" spans="1:50" x14ac:dyDescent="0.3">
      <c r="A55" s="37">
        <v>2022</v>
      </c>
      <c r="B55" s="30">
        <v>2.0469999999999997</v>
      </c>
      <c r="C55" s="9">
        <v>1.5098611106819364</v>
      </c>
      <c r="D55" s="9">
        <v>0.99454485803210513</v>
      </c>
      <c r="E55" s="9">
        <v>0.99454485803210513</v>
      </c>
      <c r="F55" s="9">
        <v>1.3631236627822683</v>
      </c>
      <c r="G55" s="18">
        <v>1</v>
      </c>
      <c r="H55" s="9">
        <v>914.62553855572889</v>
      </c>
      <c r="I55" s="9">
        <v>4457.5296365243748</v>
      </c>
      <c r="J55" s="9">
        <v>677.74800044129415</v>
      </c>
      <c r="K55" s="9">
        <v>24.461882057847841</v>
      </c>
      <c r="L55" s="9">
        <v>7.4108829166372114</v>
      </c>
      <c r="M55" s="9">
        <v>0.99454485803210513</v>
      </c>
      <c r="N55" s="9">
        <v>0.99454485803210513</v>
      </c>
      <c r="O55" s="9">
        <v>0.99454485803210513</v>
      </c>
      <c r="P55" s="9">
        <v>0.99454485803210513</v>
      </c>
      <c r="Q55" s="9">
        <v>0.99454485803210513</v>
      </c>
      <c r="R55" s="9">
        <v>390.22114699000406</v>
      </c>
      <c r="S55" s="9">
        <v>141.67919713811585</v>
      </c>
      <c r="T55" s="9">
        <v>0.99454485803210513</v>
      </c>
      <c r="U55" s="9">
        <v>3.5185379651215056</v>
      </c>
      <c r="V55" s="9">
        <v>0.99454485803210513</v>
      </c>
      <c r="W55" s="9">
        <v>137.71854272216646</v>
      </c>
      <c r="X55" s="9">
        <v>1352.5373996660776</v>
      </c>
      <c r="Y55" s="9">
        <v>0.99454485803210513</v>
      </c>
      <c r="Z55" s="9">
        <v>0.99454485803210513</v>
      </c>
      <c r="AA55" s="9">
        <v>0.99454485803210513</v>
      </c>
      <c r="AB55" s="9">
        <v>21.079456344437375</v>
      </c>
      <c r="AC55" s="9">
        <v>0.99454485803210513</v>
      </c>
      <c r="AD55" s="9">
        <v>1.6517905845615122</v>
      </c>
      <c r="AE55" s="9">
        <v>10.068956247998116</v>
      </c>
      <c r="AF55" s="9">
        <v>4.6686286163629012</v>
      </c>
      <c r="AG55" s="9">
        <v>0.99454485803210513</v>
      </c>
      <c r="AH55" s="9">
        <v>0.99454485803210513</v>
      </c>
      <c r="AI55" s="9">
        <v>0.99454485803210513</v>
      </c>
      <c r="AJ55" s="9">
        <v>0.99454485803210513</v>
      </c>
      <c r="AK55" s="9">
        <v>10.592696915494498</v>
      </c>
      <c r="AL55" s="9">
        <v>17.331689502930303</v>
      </c>
      <c r="AM55" s="9">
        <v>0.84967962006715625</v>
      </c>
      <c r="AN55" s="30">
        <v>1.047304108312191</v>
      </c>
      <c r="AO55" s="9">
        <v>0.99454485803210513</v>
      </c>
      <c r="AP55" s="30">
        <v>0.99454485803210513</v>
      </c>
      <c r="AQ55" s="9">
        <v>5.408247300988509</v>
      </c>
      <c r="AR55" s="9">
        <v>7.055853369435142</v>
      </c>
      <c r="AS55" s="9">
        <v>82.322805919353925</v>
      </c>
      <c r="AT55" s="9">
        <v>15552.313035229112</v>
      </c>
      <c r="AU55" s="9">
        <v>71.724560765020669</v>
      </c>
      <c r="AV55" s="9">
        <v>17.129552549269111</v>
      </c>
    </row>
    <row r="56" spans="1:50" x14ac:dyDescent="0.3">
      <c r="A56" s="37">
        <v>2023</v>
      </c>
      <c r="B56" s="30">
        <v>2.0909999999999997</v>
      </c>
      <c r="C56" s="9">
        <v>1.6752452065188037</v>
      </c>
      <c r="D56" s="9">
        <v>1.0293264905237642</v>
      </c>
      <c r="E56" s="9">
        <v>1.0293264905237642</v>
      </c>
      <c r="F56" s="9">
        <v>1.5024192153434095</v>
      </c>
      <c r="G56" s="18">
        <v>1</v>
      </c>
      <c r="H56" s="9">
        <v>934.975933679283</v>
      </c>
      <c r="I56" s="9">
        <v>4814.6946543645445</v>
      </c>
      <c r="J56" s="9">
        <v>605.51678427765694</v>
      </c>
      <c r="K56" s="9">
        <v>24.705988195008626</v>
      </c>
      <c r="L56" s="9">
        <v>7.6680904471205356</v>
      </c>
      <c r="M56" s="9">
        <v>1.0293264905237642</v>
      </c>
      <c r="N56" s="9">
        <v>1.0293264905237642</v>
      </c>
      <c r="O56" s="9">
        <v>1.0293264905237642</v>
      </c>
      <c r="P56" s="9">
        <v>1.0293264905237642</v>
      </c>
      <c r="Q56" s="9">
        <v>1.0293264905237642</v>
      </c>
      <c r="R56" s="9">
        <v>392.97970298315289</v>
      </c>
      <c r="S56" s="9">
        <v>153.52753222625404</v>
      </c>
      <c r="T56" s="9">
        <v>1.0293264905237642</v>
      </c>
      <c r="U56" s="9">
        <v>4.0817089962298851</v>
      </c>
      <c r="V56" s="9">
        <v>1.0293264905237642</v>
      </c>
      <c r="W56" s="9">
        <v>156.3635656071186</v>
      </c>
      <c r="X56" s="9">
        <v>1453.1742145154647</v>
      </c>
      <c r="Y56" s="9">
        <v>1.0293264905237642</v>
      </c>
      <c r="Z56" s="9">
        <v>1.0293264905237642</v>
      </c>
      <c r="AA56" s="9">
        <v>1.0293264905237642</v>
      </c>
      <c r="AB56" s="9">
        <v>19.765068800617257</v>
      </c>
      <c r="AC56" s="9">
        <v>1.0293264905237642</v>
      </c>
      <c r="AD56" s="9">
        <v>1.8124111935951763</v>
      </c>
      <c r="AE56" s="9">
        <v>11.756762271514765</v>
      </c>
      <c r="AF56" s="9">
        <v>4.6785903757044149</v>
      </c>
      <c r="AG56" s="9">
        <v>1.0293264905237642</v>
      </c>
      <c r="AH56" s="9">
        <v>1.0293264905237642</v>
      </c>
      <c r="AI56" s="9">
        <v>1.0293264905237642</v>
      </c>
      <c r="AJ56" s="9">
        <v>1.0293264905237642</v>
      </c>
      <c r="AK56" s="9">
        <v>11.80888078504324</v>
      </c>
      <c r="AL56" s="9">
        <v>26.420512328453068</v>
      </c>
      <c r="AM56" s="9">
        <v>0.89543445862987014</v>
      </c>
      <c r="AN56" s="30">
        <v>1.1129784416075861</v>
      </c>
      <c r="AO56" s="9">
        <v>1.0293264905237642</v>
      </c>
      <c r="AP56" s="30">
        <v>1.0293264905237642</v>
      </c>
      <c r="AQ56" s="9">
        <v>5.5586370052777321</v>
      </c>
      <c r="AR56" s="9">
        <v>7.8843375256667292</v>
      </c>
      <c r="AS56" s="9">
        <v>91.931213976870538</v>
      </c>
      <c r="AT56" s="9">
        <v>16958.324146123607</v>
      </c>
      <c r="AU56" s="9">
        <v>94.783479319005551</v>
      </c>
      <c r="AV56" s="9">
        <v>20.534724013066366</v>
      </c>
    </row>
    <row r="57" spans="1:50" x14ac:dyDescent="0.3">
      <c r="A57" s="37">
        <v>2024</v>
      </c>
      <c r="B57" s="30">
        <v>2.113</v>
      </c>
      <c r="C57" s="9">
        <v>1.7211355734363682</v>
      </c>
      <c r="D57" s="9">
        <v>1.0493488161149647</v>
      </c>
      <c r="E57" s="9">
        <v>1.0493488161149647</v>
      </c>
      <c r="F57" s="9">
        <v>1.5553115146381147</v>
      </c>
      <c r="G57" s="18">
        <v>1</v>
      </c>
      <c r="H57" s="9">
        <v>1071.7042323549897</v>
      </c>
      <c r="I57" s="9">
        <v>4627.7205831548345</v>
      </c>
      <c r="J57" s="9">
        <v>585.05893004894688</v>
      </c>
      <c r="K57" s="9">
        <v>26.369555402643915</v>
      </c>
      <c r="L57" s="9">
        <v>7.8307152004346259</v>
      </c>
      <c r="M57" s="9">
        <v>1.0493488161149647</v>
      </c>
      <c r="N57" s="9">
        <v>1.0493488161149647</v>
      </c>
      <c r="O57" s="9">
        <v>1.0493488161149647</v>
      </c>
      <c r="P57" s="9">
        <v>1.0493488161149647</v>
      </c>
      <c r="Q57" s="9">
        <v>1.0493488161149647</v>
      </c>
      <c r="R57" s="9">
        <v>415.34969697944848</v>
      </c>
      <c r="S57" s="9">
        <v>156.69198968867266</v>
      </c>
      <c r="T57" s="9">
        <v>1.0493488161149647</v>
      </c>
      <c r="U57" s="9">
        <v>4.2021218344699536</v>
      </c>
      <c r="V57" s="9">
        <v>1.0493488161149647</v>
      </c>
      <c r="W57" s="9">
        <v>171.92102589072451</v>
      </c>
      <c r="X57" s="9">
        <v>1548.5140493067399</v>
      </c>
      <c r="Y57" s="9">
        <v>1.0493488161149647</v>
      </c>
      <c r="Z57" s="9">
        <v>1.0493488161149647</v>
      </c>
      <c r="AA57" s="9">
        <v>1.0493488161149647</v>
      </c>
      <c r="AB57" s="9">
        <v>20.79056041055188</v>
      </c>
      <c r="AC57" s="9">
        <v>1.0493488161149647</v>
      </c>
      <c r="AD57" s="9">
        <v>1.8766829874049804</v>
      </c>
      <c r="AE57" s="9">
        <v>12.20506015452483</v>
      </c>
      <c r="AF57" s="9">
        <v>4.5213524664254345</v>
      </c>
      <c r="AG57" s="9">
        <v>1.0493488161149647</v>
      </c>
      <c r="AH57" s="9">
        <v>1.0493488161149647</v>
      </c>
      <c r="AI57" s="9">
        <v>1.0493488161149647</v>
      </c>
      <c r="AJ57" s="9">
        <v>1.0493488161149647</v>
      </c>
      <c r="AK57" s="9">
        <v>12.002665067757727</v>
      </c>
      <c r="AL57" s="9">
        <v>37.260722357762425</v>
      </c>
      <c r="AM57" s="9">
        <v>0.88866230570435223</v>
      </c>
      <c r="AN57" s="30">
        <v>1.1357946634687741</v>
      </c>
      <c r="AO57" s="9">
        <v>1.0493488161149647</v>
      </c>
      <c r="AP57" s="30">
        <v>1.0493488161149647</v>
      </c>
      <c r="AQ57" s="9">
        <v>6.120723507685554</v>
      </c>
      <c r="AR57" s="9">
        <v>8.17487199071582</v>
      </c>
      <c r="AS57" s="9">
        <v>95.031123515898983</v>
      </c>
      <c r="AT57" s="9">
        <v>18008.533550906039</v>
      </c>
      <c r="AU57" s="9">
        <v>105.12052201122727</v>
      </c>
      <c r="AV57" s="9">
        <v>20.817591434404555</v>
      </c>
    </row>
    <row r="58" spans="1:50" x14ac:dyDescent="0.3">
      <c r="A58" s="37">
        <v>2025</v>
      </c>
      <c r="B58" s="30">
        <v>2.1160000000000001</v>
      </c>
      <c r="C58" s="9">
        <v>1.8668274455063876</v>
      </c>
      <c r="D58" s="9">
        <v>1.064488781974458</v>
      </c>
      <c r="E58" s="9">
        <v>1.064488781974458</v>
      </c>
      <c r="F58" s="9">
        <v>1.6817175063694274</v>
      </c>
      <c r="G58" s="18">
        <v>1</v>
      </c>
      <c r="H58" s="9">
        <v>1144.3107945446948</v>
      </c>
      <c r="I58" s="9">
        <v>4875.3321632233274</v>
      </c>
      <c r="J58" s="9">
        <v>605.63336682740817</v>
      </c>
      <c r="K58" s="9">
        <v>26.320859399354681</v>
      </c>
      <c r="L58" s="9">
        <v>7.96509126156369</v>
      </c>
      <c r="M58" s="9">
        <v>1.064488781974458</v>
      </c>
      <c r="N58" s="9">
        <v>1.064488781974458</v>
      </c>
      <c r="O58" s="9">
        <v>1.064488781974458</v>
      </c>
      <c r="P58" s="9">
        <v>1.064488781974458</v>
      </c>
      <c r="Q58" s="9">
        <v>1.064488781974458</v>
      </c>
      <c r="R58" s="9">
        <v>424.77599343241531</v>
      </c>
      <c r="S58" s="9">
        <v>154.49640443366113</v>
      </c>
      <c r="T58" s="9">
        <v>1.064488781974458</v>
      </c>
      <c r="U58" s="9">
        <v>4.152122987850162</v>
      </c>
      <c r="V58" s="9">
        <v>1.064488781974458</v>
      </c>
      <c r="W58" s="9">
        <v>180.01669187897005</v>
      </c>
      <c r="X58" s="9">
        <v>1710.9891773177717</v>
      </c>
      <c r="Y58" s="9">
        <v>1.064488781974458</v>
      </c>
      <c r="Z58" s="9">
        <v>1.064488781974458</v>
      </c>
      <c r="AA58" s="9">
        <v>1.064488781974458</v>
      </c>
      <c r="AB58" s="9">
        <v>23.139921032610353</v>
      </c>
      <c r="AC58" s="9">
        <v>1.064488781974458</v>
      </c>
      <c r="AD58" s="9">
        <v>2.0690398315201946</v>
      </c>
      <c r="AE58" s="9">
        <v>12.504673590430055</v>
      </c>
      <c r="AF58" s="9">
        <v>4.5233839902087594</v>
      </c>
      <c r="AG58" s="9">
        <v>1.064488781974458</v>
      </c>
      <c r="AH58" s="9">
        <v>1.064488781974458</v>
      </c>
      <c r="AI58" s="9">
        <v>1.064488781974458</v>
      </c>
      <c r="AJ58" s="9">
        <v>1.064488781974458</v>
      </c>
      <c r="AK58" s="9">
        <v>11.812878812825058</v>
      </c>
      <c r="AL58" s="9">
        <v>47.458394487476646</v>
      </c>
      <c r="AM58" s="9">
        <v>0.91353657108952424</v>
      </c>
      <c r="AN58" s="30">
        <v>1.2028543734281456</v>
      </c>
      <c r="AO58" s="9">
        <v>1.064488781974458</v>
      </c>
      <c r="AP58" s="30">
        <v>1.064488781974458</v>
      </c>
      <c r="AQ58" s="9">
        <v>6.7206916876547398</v>
      </c>
      <c r="AR58" s="9">
        <v>8.6483393581228807</v>
      </c>
      <c r="AS58" s="9">
        <v>104.83892077989792</v>
      </c>
      <c r="AT58" s="9">
        <v>19820.472196261941</v>
      </c>
      <c r="AU58" s="9"/>
      <c r="AV58" s="9">
        <v>21.517559952467177</v>
      </c>
    </row>
    <row r="59" spans="1:50" x14ac:dyDescent="0.3">
      <c r="A59" s="6"/>
      <c r="B59" s="7"/>
    </row>
    <row r="60" spans="1:50" x14ac:dyDescent="0.3">
      <c r="A60" s="16" t="s">
        <v>124</v>
      </c>
      <c r="B60" s="2" t="s">
        <v>94</v>
      </c>
      <c r="C60" t="s">
        <v>160</v>
      </c>
    </row>
    <row r="61" spans="1:50" x14ac:dyDescent="0.3">
      <c r="A61" s="16" t="s">
        <v>36</v>
      </c>
      <c r="B61" s="10" t="s">
        <v>125</v>
      </c>
      <c r="C61" t="s">
        <v>126</v>
      </c>
    </row>
    <row r="62" spans="1:50" x14ac:dyDescent="0.3">
      <c r="A62" s="6"/>
      <c r="B62" s="7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X62" s="3"/>
    </row>
    <row r="63" spans="1:50" x14ac:dyDescent="0.3">
      <c r="A63" s="6"/>
      <c r="B63" s="7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X63" s="3"/>
    </row>
    <row r="64" spans="1:50" x14ac:dyDescent="0.3">
      <c r="A64" s="13" t="s">
        <v>150</v>
      </c>
      <c r="B64" s="13" t="s">
        <v>0</v>
      </c>
      <c r="D64" s="13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3"/>
      <c r="AR64" s="3"/>
      <c r="AS64" s="3"/>
      <c r="AT64" s="3"/>
      <c r="AU64" s="3"/>
      <c r="AV64" s="3"/>
      <c r="AX64" s="3"/>
    </row>
    <row r="65" spans="1:50" x14ac:dyDescent="0.3">
      <c r="A65" s="15" t="s">
        <v>128</v>
      </c>
      <c r="B65" s="14" t="s">
        <v>95</v>
      </c>
      <c r="D65" s="13"/>
      <c r="AQ65" s="3"/>
      <c r="AR65" s="3"/>
      <c r="AS65" s="3"/>
      <c r="AT65" s="3"/>
      <c r="AU65" s="3"/>
      <c r="AV65" s="3"/>
      <c r="AX65" s="3"/>
    </row>
    <row r="66" spans="1:50" x14ac:dyDescent="0.3">
      <c r="A66" s="15" t="s">
        <v>70</v>
      </c>
      <c r="B66" s="14" t="s">
        <v>2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X66" s="3"/>
    </row>
    <row r="67" spans="1:50" x14ac:dyDescent="0.3">
      <c r="A67" s="15" t="s">
        <v>93</v>
      </c>
      <c r="B67" s="14" t="s">
        <v>96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X67" s="3"/>
    </row>
    <row r="68" spans="1:50" x14ac:dyDescent="0.3">
      <c r="A68" s="15" t="s">
        <v>91</v>
      </c>
      <c r="B68" s="14" t="s">
        <v>97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X68" s="3"/>
    </row>
    <row r="69" spans="1:50" x14ac:dyDescent="0.3">
      <c r="A69" s="15" t="s">
        <v>129</v>
      </c>
      <c r="B69" s="14" t="s">
        <v>98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X69" s="3"/>
    </row>
    <row r="70" spans="1:50" x14ac:dyDescent="0.3">
      <c r="A70" s="15" t="s">
        <v>130</v>
      </c>
      <c r="B70" s="14" t="s">
        <v>99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X70" s="3"/>
    </row>
    <row r="71" spans="1:50" x14ac:dyDescent="0.3">
      <c r="A71" s="15" t="s">
        <v>131</v>
      </c>
      <c r="B71" s="14" t="s">
        <v>100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X71" s="3"/>
    </row>
    <row r="72" spans="1:50" x14ac:dyDescent="0.3">
      <c r="A72" s="15" t="s">
        <v>132</v>
      </c>
      <c r="B72" s="14" t="s">
        <v>101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X72" s="3"/>
    </row>
    <row r="73" spans="1:50" x14ac:dyDescent="0.3">
      <c r="A73" s="15" t="s">
        <v>67</v>
      </c>
      <c r="B73" s="14" t="s">
        <v>4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X73" s="3"/>
    </row>
    <row r="74" spans="1:50" x14ac:dyDescent="0.3">
      <c r="A74" s="15" t="s">
        <v>63</v>
      </c>
      <c r="B74" s="14" t="s">
        <v>102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X74" s="3"/>
    </row>
    <row r="75" spans="1:50" x14ac:dyDescent="0.3">
      <c r="A75" s="15" t="s">
        <v>78</v>
      </c>
      <c r="B75" s="14" t="s">
        <v>24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X75" s="3"/>
    </row>
    <row r="76" spans="1:50" x14ac:dyDescent="0.3">
      <c r="A76" s="15" t="s">
        <v>68</v>
      </c>
      <c r="B76" s="14" t="s">
        <v>3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X76" s="3"/>
    </row>
    <row r="77" spans="1:50" x14ac:dyDescent="0.3">
      <c r="A77" s="15" t="s">
        <v>62</v>
      </c>
      <c r="B77" s="14" t="s">
        <v>1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X77" s="3"/>
    </row>
    <row r="78" spans="1:50" x14ac:dyDescent="0.3">
      <c r="A78" s="15" t="s">
        <v>74</v>
      </c>
      <c r="B78" s="14" t="s">
        <v>21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X78" s="3"/>
    </row>
    <row r="79" spans="1:50" x14ac:dyDescent="0.3">
      <c r="A79" s="15" t="s">
        <v>133</v>
      </c>
      <c r="B79" s="14" t="s">
        <v>103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X79" s="3"/>
    </row>
    <row r="80" spans="1:50" x14ac:dyDescent="0.3">
      <c r="A80" s="15" t="s">
        <v>134</v>
      </c>
      <c r="B80" s="14" t="s">
        <v>104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X80" s="3"/>
    </row>
    <row r="81" spans="1:50" x14ac:dyDescent="0.3">
      <c r="A81" s="15" t="s">
        <v>64</v>
      </c>
      <c r="B81" s="14" t="s">
        <v>105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X81" s="3"/>
    </row>
    <row r="82" spans="1:50" x14ac:dyDescent="0.3">
      <c r="A82" s="15" t="s">
        <v>135</v>
      </c>
      <c r="B82" s="14" t="s">
        <v>106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X82" s="3"/>
    </row>
    <row r="83" spans="1:50" x14ac:dyDescent="0.3">
      <c r="A83" s="15" t="s">
        <v>75</v>
      </c>
      <c r="B83" s="14" t="s">
        <v>7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X83" s="3"/>
    </row>
    <row r="84" spans="1:50" x14ac:dyDescent="0.3">
      <c r="A84" s="15" t="s">
        <v>136</v>
      </c>
      <c r="B84" s="14" t="s">
        <v>107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X84" s="3"/>
    </row>
    <row r="85" spans="1:50" ht="14.4" customHeight="1" x14ac:dyDescent="0.3">
      <c r="A85" s="15" t="s">
        <v>69</v>
      </c>
      <c r="B85" s="14" t="s">
        <v>137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X85" s="3"/>
    </row>
    <row r="86" spans="1:50" ht="14.4" customHeight="1" x14ac:dyDescent="0.3">
      <c r="A86" s="15" t="s">
        <v>138</v>
      </c>
      <c r="B86" s="14" t="s">
        <v>108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X86" s="3"/>
    </row>
    <row r="87" spans="1:50" ht="14.4" customHeight="1" x14ac:dyDescent="0.3">
      <c r="A87" s="15" t="s">
        <v>139</v>
      </c>
      <c r="B87" s="14" t="s">
        <v>109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X87" s="3"/>
    </row>
    <row r="88" spans="1:50" ht="14.4" customHeight="1" x14ac:dyDescent="0.3">
      <c r="A88" s="15" t="s">
        <v>140</v>
      </c>
      <c r="B88" s="14" t="s">
        <v>110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X88" s="3"/>
    </row>
    <row r="89" spans="1:50" ht="14.4" customHeight="1" x14ac:dyDescent="0.3">
      <c r="A89" s="15" t="s">
        <v>141</v>
      </c>
      <c r="B89" s="14" t="s">
        <v>111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X89" s="3"/>
    </row>
    <row r="90" spans="1:50" ht="14.4" customHeight="1" x14ac:dyDescent="0.3">
      <c r="A90" s="15" t="s">
        <v>56</v>
      </c>
      <c r="B90" s="14" t="s">
        <v>13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X90" s="3"/>
    </row>
    <row r="91" spans="1:50" ht="14.4" customHeight="1" x14ac:dyDescent="0.3">
      <c r="A91" s="15" t="s">
        <v>142</v>
      </c>
      <c r="B91" s="14" t="s">
        <v>112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X91" s="3"/>
    </row>
    <row r="92" spans="1:50" ht="14.4" customHeight="1" x14ac:dyDescent="0.3">
      <c r="A92" s="15" t="s">
        <v>77</v>
      </c>
      <c r="B92" s="14" t="s">
        <v>10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X92" s="3"/>
    </row>
    <row r="93" spans="1:50" ht="14.4" customHeight="1" x14ac:dyDescent="0.3">
      <c r="A93" s="15" t="s">
        <v>76</v>
      </c>
      <c r="B93" s="14" t="s">
        <v>11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X93" s="3"/>
    </row>
    <row r="94" spans="1:50" ht="14.4" customHeight="1" x14ac:dyDescent="0.3">
      <c r="A94" s="15" t="s">
        <v>72</v>
      </c>
      <c r="B94" s="14" t="s">
        <v>17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X94" s="3"/>
    </row>
    <row r="95" spans="1:50" ht="14.4" customHeight="1" x14ac:dyDescent="0.3">
      <c r="A95" s="15" t="s">
        <v>143</v>
      </c>
      <c r="B95" s="14" t="s">
        <v>113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X95" s="3"/>
    </row>
    <row r="96" spans="1:50" ht="14.4" customHeight="1" x14ac:dyDescent="0.3">
      <c r="A96" s="15" t="s">
        <v>144</v>
      </c>
      <c r="B96" s="14" t="s">
        <v>114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X96" s="3"/>
    </row>
    <row r="97" spans="1:50" ht="14.4" customHeight="1" x14ac:dyDescent="0.3">
      <c r="A97" s="15" t="s">
        <v>71</v>
      </c>
      <c r="B97" s="14" t="s">
        <v>16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X97" s="3"/>
    </row>
    <row r="98" spans="1:50" ht="14.4" customHeight="1" x14ac:dyDescent="0.3">
      <c r="A98" s="15" t="s">
        <v>66</v>
      </c>
      <c r="B98" s="14" t="s">
        <v>5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X98" s="3"/>
    </row>
    <row r="99" spans="1:50" ht="14.4" customHeight="1" x14ac:dyDescent="0.3">
      <c r="A99" s="15" t="s">
        <v>65</v>
      </c>
      <c r="B99" s="14" t="s">
        <v>115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X99" s="3"/>
    </row>
    <row r="100" spans="1:50" ht="14.4" customHeight="1" x14ac:dyDescent="0.3">
      <c r="A100" s="15" t="s">
        <v>92</v>
      </c>
      <c r="B100" s="14" t="s">
        <v>116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X100" s="3"/>
    </row>
    <row r="101" spans="1:50" ht="14.4" customHeight="1" x14ac:dyDescent="0.3">
      <c r="A101" s="15" t="s">
        <v>145</v>
      </c>
      <c r="B101" s="14" t="s">
        <v>117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X101" s="3"/>
    </row>
    <row r="102" spans="1:50" x14ac:dyDescent="0.3">
      <c r="A102" s="6"/>
      <c r="B102" s="11"/>
      <c r="C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X102" s="3"/>
    </row>
    <row r="103" spans="1:50" x14ac:dyDescent="0.3">
      <c r="A103" s="6"/>
      <c r="B103" s="11"/>
      <c r="C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X103" s="3"/>
    </row>
    <row r="104" spans="1:50" x14ac:dyDescent="0.3">
      <c r="A104" s="6"/>
      <c r="B104" s="11"/>
      <c r="C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X104" s="3"/>
    </row>
    <row r="105" spans="1:50" x14ac:dyDescent="0.3">
      <c r="A105" s="6"/>
      <c r="B105" s="11"/>
      <c r="C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X105" s="3"/>
    </row>
    <row r="106" spans="1:50" x14ac:dyDescent="0.3">
      <c r="A106" s="6"/>
      <c r="B106" s="11"/>
      <c r="C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X106" s="3"/>
    </row>
    <row r="107" spans="1:50" x14ac:dyDescent="0.3">
      <c r="A107" s="6"/>
      <c r="B107" s="11"/>
      <c r="C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X107" s="3"/>
    </row>
    <row r="108" spans="1:50" x14ac:dyDescent="0.3">
      <c r="A108" s="6"/>
      <c r="B108" s="11"/>
      <c r="C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X108" s="3"/>
    </row>
    <row r="109" spans="1:50" x14ac:dyDescent="0.3">
      <c r="A109" s="6"/>
      <c r="B109" s="11"/>
      <c r="C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X109" s="3"/>
    </row>
    <row r="110" spans="1:50" x14ac:dyDescent="0.3">
      <c r="A110" s="6"/>
      <c r="B110" s="11"/>
      <c r="C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X110" s="3"/>
    </row>
    <row r="111" spans="1:50" x14ac:dyDescent="0.3">
      <c r="A111" s="6"/>
      <c r="B111" s="11"/>
      <c r="C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X111" s="3"/>
    </row>
    <row r="112" spans="1:50" x14ac:dyDescent="0.3">
      <c r="A112" s="6"/>
      <c r="B112" s="11"/>
      <c r="C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X112" s="3"/>
    </row>
    <row r="113" spans="1:50" x14ac:dyDescent="0.3">
      <c r="A113" s="6"/>
      <c r="B113" s="7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X113" s="3"/>
    </row>
    <row r="114" spans="1:50" x14ac:dyDescent="0.3">
      <c r="A114" s="6"/>
      <c r="B114" s="7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X114" s="3"/>
    </row>
    <row r="115" spans="1:50" x14ac:dyDescent="0.3">
      <c r="A115" s="6"/>
      <c r="B115" s="7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X115" s="3"/>
    </row>
    <row r="116" spans="1:50" x14ac:dyDescent="0.3">
      <c r="A116" s="6"/>
      <c r="B116" s="7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X116" s="3"/>
    </row>
    <row r="117" spans="1:50" x14ac:dyDescent="0.3">
      <c r="A117" s="6"/>
      <c r="B117" s="7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X117" s="3"/>
    </row>
    <row r="118" spans="1:50" x14ac:dyDescent="0.3">
      <c r="A118" s="6"/>
      <c r="B118" s="7"/>
    </row>
    <row r="119" spans="1:50" x14ac:dyDescent="0.3">
      <c r="A119" s="6"/>
      <c r="B119" s="7"/>
    </row>
    <row r="120" spans="1:50" x14ac:dyDescent="0.3">
      <c r="A120" s="6"/>
      <c r="B120" s="7"/>
    </row>
    <row r="121" spans="1:50" x14ac:dyDescent="0.3">
      <c r="A121" s="6"/>
      <c r="B121" s="7"/>
    </row>
    <row r="122" spans="1:50" x14ac:dyDescent="0.3">
      <c r="A122" s="6"/>
      <c r="B122" s="7"/>
    </row>
    <row r="123" spans="1:50" x14ac:dyDescent="0.3">
      <c r="A123" s="6"/>
      <c r="B123" s="7"/>
    </row>
    <row r="124" spans="1:50" x14ac:dyDescent="0.3">
      <c r="A124" s="6"/>
      <c r="B124" s="7"/>
    </row>
    <row r="125" spans="1:50" x14ac:dyDescent="0.3">
      <c r="A125" s="6"/>
      <c r="B125" s="7"/>
    </row>
    <row r="126" spans="1:50" x14ac:dyDescent="0.3">
      <c r="A126" s="6"/>
      <c r="B126" s="7"/>
    </row>
    <row r="127" spans="1:50" x14ac:dyDescent="0.3">
      <c r="A127" s="6"/>
      <c r="B127" s="7"/>
    </row>
    <row r="128" spans="1:50" x14ac:dyDescent="0.3">
      <c r="A128" s="6"/>
      <c r="B128" s="7"/>
    </row>
    <row r="129" spans="1:2" x14ac:dyDescent="0.3">
      <c r="A129" s="6"/>
      <c r="B129" s="7"/>
    </row>
    <row r="130" spans="1:2" x14ac:dyDescent="0.3">
      <c r="A130" s="6"/>
      <c r="B130" s="7"/>
    </row>
    <row r="131" spans="1:2" x14ac:dyDescent="0.3">
      <c r="A131" s="6"/>
      <c r="B131" s="7"/>
    </row>
    <row r="132" spans="1:2" x14ac:dyDescent="0.3">
      <c r="A132" s="6"/>
      <c r="B132" s="7"/>
    </row>
    <row r="133" spans="1:2" x14ac:dyDescent="0.3">
      <c r="A133" s="6"/>
      <c r="B133" s="7"/>
    </row>
    <row r="134" spans="1:2" x14ac:dyDescent="0.3">
      <c r="A134" s="6"/>
      <c r="B134" s="7"/>
    </row>
    <row r="135" spans="1:2" x14ac:dyDescent="0.3">
      <c r="A135" s="6"/>
      <c r="B135" s="7"/>
    </row>
    <row r="136" spans="1:2" x14ac:dyDescent="0.3">
      <c r="A136" s="6"/>
      <c r="B136" s="7"/>
    </row>
    <row r="137" spans="1:2" x14ac:dyDescent="0.3">
      <c r="A137" s="6"/>
      <c r="B137" s="7"/>
    </row>
    <row r="138" spans="1:2" x14ac:dyDescent="0.3">
      <c r="A138" s="6"/>
      <c r="B138" s="7"/>
    </row>
    <row r="139" spans="1:2" x14ac:dyDescent="0.3">
      <c r="A139" s="6"/>
      <c r="B139" s="7"/>
    </row>
    <row r="140" spans="1:2" x14ac:dyDescent="0.3">
      <c r="A140" s="6"/>
      <c r="B140" s="7"/>
    </row>
    <row r="141" spans="1:2" x14ac:dyDescent="0.3">
      <c r="A141" s="6"/>
      <c r="B141" s="7"/>
    </row>
    <row r="142" spans="1:2" x14ac:dyDescent="0.3">
      <c r="A142" s="6"/>
      <c r="B142" s="7"/>
    </row>
    <row r="143" spans="1:2" x14ac:dyDescent="0.3">
      <c r="A143" s="6"/>
      <c r="B143" s="7"/>
    </row>
    <row r="144" spans="1:2" x14ac:dyDescent="0.3">
      <c r="A144" s="6"/>
      <c r="B144" s="7"/>
    </row>
    <row r="145" spans="1:2" x14ac:dyDescent="0.3">
      <c r="A145" s="6"/>
      <c r="B145" s="7"/>
    </row>
    <row r="146" spans="1:2" x14ac:dyDescent="0.3">
      <c r="A146" s="6"/>
      <c r="B146" s="7"/>
    </row>
    <row r="147" spans="1:2" x14ac:dyDescent="0.3">
      <c r="A147" s="6"/>
      <c r="B147" s="7"/>
    </row>
    <row r="148" spans="1:2" x14ac:dyDescent="0.3">
      <c r="A148" s="6"/>
      <c r="B148" s="7"/>
    </row>
    <row r="149" spans="1:2" x14ac:dyDescent="0.3">
      <c r="A149" s="6"/>
      <c r="B149" s="7"/>
    </row>
    <row r="150" spans="1:2" x14ac:dyDescent="0.3">
      <c r="A150" s="6"/>
      <c r="B150" s="7"/>
    </row>
    <row r="151" spans="1:2" x14ac:dyDescent="0.3">
      <c r="A151" s="6"/>
      <c r="B151" s="7"/>
    </row>
    <row r="152" spans="1:2" x14ac:dyDescent="0.3">
      <c r="A152" s="6"/>
      <c r="B152" s="7"/>
    </row>
    <row r="153" spans="1:2" x14ac:dyDescent="0.3">
      <c r="A153" s="6"/>
      <c r="B153" s="7"/>
    </row>
    <row r="154" spans="1:2" x14ac:dyDescent="0.3">
      <c r="A154" s="6"/>
      <c r="B154" s="7"/>
    </row>
    <row r="155" spans="1:2" x14ac:dyDescent="0.3">
      <c r="A155" s="6"/>
      <c r="B155" s="7"/>
    </row>
    <row r="156" spans="1:2" x14ac:dyDescent="0.3">
      <c r="A156" s="6"/>
      <c r="B156" s="7"/>
    </row>
    <row r="157" spans="1:2" x14ac:dyDescent="0.3">
      <c r="A157" s="6"/>
      <c r="B157" s="7"/>
    </row>
    <row r="158" spans="1:2" x14ac:dyDescent="0.3">
      <c r="A158" s="6"/>
      <c r="B158" s="7"/>
    </row>
    <row r="159" spans="1:2" x14ac:dyDescent="0.3">
      <c r="A159" s="6"/>
      <c r="B159" s="7"/>
    </row>
    <row r="160" spans="1:2" x14ac:dyDescent="0.3">
      <c r="A160" s="6"/>
      <c r="B160" s="7"/>
    </row>
    <row r="161" spans="1:2" x14ac:dyDescent="0.3">
      <c r="A161" s="6"/>
      <c r="B161" s="7"/>
    </row>
    <row r="162" spans="1:2" x14ac:dyDescent="0.3">
      <c r="A162" s="6"/>
      <c r="B162" s="7"/>
    </row>
    <row r="163" spans="1:2" x14ac:dyDescent="0.3">
      <c r="A163" s="6"/>
      <c r="B163" s="7"/>
    </row>
    <row r="164" spans="1:2" x14ac:dyDescent="0.3">
      <c r="A164" s="6"/>
      <c r="B164" s="7"/>
    </row>
    <row r="165" spans="1:2" x14ac:dyDescent="0.3">
      <c r="A165" s="6"/>
      <c r="B165" s="7"/>
    </row>
    <row r="166" spans="1:2" x14ac:dyDescent="0.3">
      <c r="A166" s="6"/>
      <c r="B166" s="7"/>
    </row>
    <row r="167" spans="1:2" x14ac:dyDescent="0.3">
      <c r="A167" s="6"/>
      <c r="B167" s="7"/>
    </row>
    <row r="168" spans="1:2" x14ac:dyDescent="0.3">
      <c r="A168" s="6"/>
      <c r="B168" s="7"/>
    </row>
    <row r="169" spans="1:2" x14ac:dyDescent="0.3">
      <c r="A169" s="6"/>
      <c r="B169" s="7"/>
    </row>
    <row r="170" spans="1:2" x14ac:dyDescent="0.3">
      <c r="A170" s="6"/>
      <c r="B170" s="7"/>
    </row>
    <row r="171" spans="1:2" x14ac:dyDescent="0.3">
      <c r="A171" s="6"/>
      <c r="B171" s="7"/>
    </row>
    <row r="172" spans="1:2" x14ac:dyDescent="0.3">
      <c r="A172" s="6"/>
      <c r="B172" s="7"/>
    </row>
    <row r="173" spans="1:2" x14ac:dyDescent="0.3">
      <c r="A173" s="6"/>
      <c r="B173" s="7"/>
    </row>
    <row r="174" spans="1:2" x14ac:dyDescent="0.3">
      <c r="A174" s="6"/>
      <c r="B174" s="7"/>
    </row>
    <row r="175" spans="1:2" x14ac:dyDescent="0.3">
      <c r="A175" s="6"/>
      <c r="B175" s="7"/>
    </row>
    <row r="176" spans="1:2" x14ac:dyDescent="0.3">
      <c r="A176" s="6"/>
      <c r="B176" s="7"/>
    </row>
    <row r="177" spans="1:2" x14ac:dyDescent="0.3">
      <c r="A177" s="6"/>
      <c r="B177" s="7"/>
    </row>
    <row r="178" spans="1:2" x14ac:dyDescent="0.3">
      <c r="A178" s="6"/>
      <c r="B178" s="7"/>
    </row>
    <row r="179" spans="1:2" x14ac:dyDescent="0.3">
      <c r="A179" s="6"/>
      <c r="B179" s="7"/>
    </row>
    <row r="180" spans="1:2" x14ac:dyDescent="0.3">
      <c r="A180" s="6"/>
      <c r="B180" s="7"/>
    </row>
    <row r="181" spans="1:2" x14ac:dyDescent="0.3">
      <c r="A181" s="6"/>
      <c r="B181" s="7"/>
    </row>
    <row r="182" spans="1:2" x14ac:dyDescent="0.3">
      <c r="A182" s="6"/>
      <c r="B182" s="7"/>
    </row>
    <row r="183" spans="1:2" x14ac:dyDescent="0.3">
      <c r="A183" s="6"/>
      <c r="B183" s="7"/>
    </row>
    <row r="184" spans="1:2" x14ac:dyDescent="0.3">
      <c r="A184" s="6"/>
      <c r="B184" s="7"/>
    </row>
    <row r="185" spans="1:2" x14ac:dyDescent="0.3">
      <c r="A185" s="6"/>
      <c r="B185" s="7"/>
    </row>
    <row r="186" spans="1:2" x14ac:dyDescent="0.3">
      <c r="A186" s="6"/>
      <c r="B186" s="7"/>
    </row>
    <row r="187" spans="1:2" x14ac:dyDescent="0.3">
      <c r="A187" s="6"/>
      <c r="B187" s="7"/>
    </row>
    <row r="188" spans="1:2" x14ac:dyDescent="0.3">
      <c r="A188" s="6"/>
      <c r="B188" s="7"/>
    </row>
    <row r="189" spans="1:2" x14ac:dyDescent="0.3">
      <c r="A189" s="6"/>
      <c r="B189" s="7"/>
    </row>
    <row r="190" spans="1:2" x14ac:dyDescent="0.3">
      <c r="A190" s="6"/>
      <c r="B190" s="7"/>
    </row>
    <row r="191" spans="1:2" x14ac:dyDescent="0.3">
      <c r="A191" s="6"/>
      <c r="B191" s="7"/>
    </row>
    <row r="192" spans="1:2" x14ac:dyDescent="0.3">
      <c r="A192" s="6"/>
      <c r="B192" s="7"/>
    </row>
    <row r="193" spans="1:2" x14ac:dyDescent="0.3">
      <c r="A193" s="6"/>
      <c r="B193" s="7"/>
    </row>
    <row r="194" spans="1:2" x14ac:dyDescent="0.3">
      <c r="A194" s="6"/>
      <c r="B194" s="7"/>
    </row>
    <row r="195" spans="1:2" x14ac:dyDescent="0.3">
      <c r="A195" s="6"/>
      <c r="B195" s="7"/>
    </row>
    <row r="196" spans="1:2" x14ac:dyDescent="0.3">
      <c r="A196" s="6"/>
      <c r="B196" s="7"/>
    </row>
    <row r="197" spans="1:2" x14ac:dyDescent="0.3">
      <c r="A197" s="6"/>
      <c r="B197" s="7"/>
    </row>
    <row r="198" spans="1:2" x14ac:dyDescent="0.3">
      <c r="A198" s="6"/>
      <c r="B198" s="7"/>
    </row>
    <row r="199" spans="1:2" x14ac:dyDescent="0.3">
      <c r="A199" s="6"/>
      <c r="B199" s="7"/>
    </row>
    <row r="200" spans="1:2" x14ac:dyDescent="0.3">
      <c r="A200" s="6"/>
      <c r="B200" s="7"/>
    </row>
    <row r="201" spans="1:2" x14ac:dyDescent="0.3">
      <c r="A201" s="6"/>
      <c r="B201" s="7"/>
    </row>
    <row r="202" spans="1:2" x14ac:dyDescent="0.3">
      <c r="A202" s="6"/>
      <c r="B202" s="7"/>
    </row>
    <row r="203" spans="1:2" x14ac:dyDescent="0.3">
      <c r="A203" s="6"/>
      <c r="B203" s="7"/>
    </row>
    <row r="204" spans="1:2" x14ac:dyDescent="0.3">
      <c r="A204" s="6"/>
      <c r="B204" s="7"/>
    </row>
    <row r="205" spans="1:2" x14ac:dyDescent="0.3">
      <c r="A205" s="6"/>
      <c r="B205" s="7"/>
    </row>
    <row r="206" spans="1:2" x14ac:dyDescent="0.3">
      <c r="A206" s="6"/>
      <c r="B206" s="7"/>
    </row>
    <row r="207" spans="1:2" x14ac:dyDescent="0.3">
      <c r="A207" s="6"/>
      <c r="B207" s="7"/>
    </row>
    <row r="208" spans="1:2" x14ac:dyDescent="0.3">
      <c r="A208" s="6"/>
      <c r="B208" s="7"/>
    </row>
    <row r="209" spans="1:2" x14ac:dyDescent="0.3">
      <c r="A209" s="6"/>
      <c r="B209" s="7"/>
    </row>
    <row r="210" spans="1:2" x14ac:dyDescent="0.3">
      <c r="A210" s="6"/>
      <c r="B210" s="8"/>
    </row>
    <row r="211" spans="1:2" x14ac:dyDescent="0.3">
      <c r="A211" s="6"/>
      <c r="B211" s="8"/>
    </row>
    <row r="212" spans="1:2" x14ac:dyDescent="0.3">
      <c r="A212" s="6"/>
      <c r="B212" s="8"/>
    </row>
    <row r="213" spans="1:2" x14ac:dyDescent="0.3">
      <c r="A213" s="6"/>
      <c r="B213" s="8"/>
    </row>
    <row r="214" spans="1:2" x14ac:dyDescent="0.3">
      <c r="A214" s="6"/>
      <c r="B214" s="8"/>
    </row>
    <row r="215" spans="1:2" x14ac:dyDescent="0.3">
      <c r="A215" s="6"/>
      <c r="B215" s="8"/>
    </row>
    <row r="216" spans="1:2" x14ac:dyDescent="0.3">
      <c r="A216" s="6"/>
      <c r="B216" s="8"/>
    </row>
    <row r="217" spans="1:2" x14ac:dyDescent="0.3">
      <c r="A217" s="6"/>
      <c r="B217" s="8"/>
    </row>
    <row r="218" spans="1:2" x14ac:dyDescent="0.3">
      <c r="A218" s="6"/>
      <c r="B218" s="8"/>
    </row>
    <row r="219" spans="1:2" x14ac:dyDescent="0.3">
      <c r="A219" s="6"/>
      <c r="B219" s="8"/>
    </row>
    <row r="220" spans="1:2" x14ac:dyDescent="0.3">
      <c r="A220" s="6"/>
      <c r="B220" s="8"/>
    </row>
    <row r="221" spans="1:2" x14ac:dyDescent="0.3">
      <c r="A221" s="6"/>
      <c r="B221" s="8"/>
    </row>
    <row r="222" spans="1:2" x14ac:dyDescent="0.3">
      <c r="A222" s="6"/>
      <c r="B222" s="8"/>
    </row>
    <row r="223" spans="1:2" x14ac:dyDescent="0.3">
      <c r="A223" s="6"/>
      <c r="B223" s="8"/>
    </row>
    <row r="224" spans="1:2" x14ac:dyDescent="0.3">
      <c r="A224" s="6"/>
      <c r="B224" s="8"/>
    </row>
    <row r="225" spans="1:2" x14ac:dyDescent="0.3">
      <c r="A225" s="6"/>
      <c r="B225" s="8"/>
    </row>
    <row r="226" spans="1:2" x14ac:dyDescent="0.3">
      <c r="A226" s="6"/>
      <c r="B226" s="8"/>
    </row>
    <row r="227" spans="1:2" x14ac:dyDescent="0.3">
      <c r="A227" s="6"/>
      <c r="B227" s="8"/>
    </row>
    <row r="228" spans="1:2" x14ac:dyDescent="0.3">
      <c r="A228" s="6"/>
      <c r="B228" s="8"/>
    </row>
    <row r="229" spans="1:2" x14ac:dyDescent="0.3">
      <c r="A229" s="6"/>
      <c r="B229" s="8"/>
    </row>
    <row r="230" spans="1:2" x14ac:dyDescent="0.3">
      <c r="A230" s="6"/>
      <c r="B230" s="8"/>
    </row>
    <row r="231" spans="1:2" x14ac:dyDescent="0.3">
      <c r="A231" s="6"/>
      <c r="B231" s="8"/>
    </row>
    <row r="232" spans="1:2" x14ac:dyDescent="0.3">
      <c r="A232" s="6"/>
      <c r="B232" s="8"/>
    </row>
    <row r="233" spans="1:2" x14ac:dyDescent="0.3">
      <c r="A233" s="6"/>
      <c r="B233" s="8"/>
    </row>
    <row r="234" spans="1:2" x14ac:dyDescent="0.3">
      <c r="A234" s="6"/>
      <c r="B234" s="8"/>
    </row>
    <row r="235" spans="1:2" x14ac:dyDescent="0.3">
      <c r="A235" s="6"/>
      <c r="B235" s="8"/>
    </row>
    <row r="236" spans="1:2" x14ac:dyDescent="0.3">
      <c r="A236" s="6"/>
      <c r="B236" s="8"/>
    </row>
    <row r="237" spans="1:2" x14ac:dyDescent="0.3">
      <c r="A237" s="6"/>
      <c r="B237" s="8"/>
    </row>
    <row r="238" spans="1:2" x14ac:dyDescent="0.3">
      <c r="A238" s="6"/>
      <c r="B238" s="8"/>
    </row>
    <row r="239" spans="1:2" x14ac:dyDescent="0.3">
      <c r="A239" s="6"/>
      <c r="B239" s="8"/>
    </row>
    <row r="240" spans="1:2" x14ac:dyDescent="0.3">
      <c r="A240" s="6"/>
      <c r="B240" s="8"/>
    </row>
    <row r="241" spans="1:2" x14ac:dyDescent="0.3">
      <c r="A241" s="6"/>
      <c r="B241" s="8"/>
    </row>
    <row r="242" spans="1:2" x14ac:dyDescent="0.3">
      <c r="A242" s="6"/>
      <c r="B242" s="8"/>
    </row>
    <row r="243" spans="1:2" x14ac:dyDescent="0.3">
      <c r="A243" s="6"/>
      <c r="B243" s="8"/>
    </row>
    <row r="244" spans="1:2" x14ac:dyDescent="0.3">
      <c r="A244" s="6"/>
      <c r="B244" s="8"/>
    </row>
    <row r="245" spans="1:2" x14ac:dyDescent="0.3">
      <c r="A245" s="6"/>
      <c r="B245" s="8"/>
    </row>
    <row r="246" spans="1:2" x14ac:dyDescent="0.3">
      <c r="A246" s="6"/>
      <c r="B246" s="8"/>
    </row>
    <row r="247" spans="1:2" x14ac:dyDescent="0.3">
      <c r="A247" s="6"/>
      <c r="B247" s="8"/>
    </row>
    <row r="248" spans="1:2" x14ac:dyDescent="0.3">
      <c r="A248" s="6"/>
      <c r="B248" s="8"/>
    </row>
    <row r="249" spans="1:2" x14ac:dyDescent="0.3">
      <c r="A249" s="6"/>
      <c r="B249" s="8"/>
    </row>
    <row r="250" spans="1:2" x14ac:dyDescent="0.3">
      <c r="A250" s="6"/>
      <c r="B250" s="8"/>
    </row>
    <row r="251" spans="1:2" x14ac:dyDescent="0.3">
      <c r="A251" s="6"/>
      <c r="B251" s="8"/>
    </row>
    <row r="252" spans="1:2" x14ac:dyDescent="0.3">
      <c r="A252" s="6"/>
      <c r="B252" s="8"/>
    </row>
    <row r="253" spans="1:2" x14ac:dyDescent="0.3">
      <c r="A253" s="6"/>
      <c r="B253" s="8"/>
    </row>
    <row r="254" spans="1:2" x14ac:dyDescent="0.3">
      <c r="A254" s="6"/>
      <c r="B254" s="8"/>
    </row>
    <row r="255" spans="1:2" x14ac:dyDescent="0.3">
      <c r="A255" s="6"/>
      <c r="B255" s="8"/>
    </row>
    <row r="256" spans="1:2" x14ac:dyDescent="0.3">
      <c r="A256" s="6"/>
      <c r="B256" s="8"/>
    </row>
    <row r="257" spans="1:2" x14ac:dyDescent="0.3">
      <c r="A257" s="6"/>
      <c r="B257" s="8"/>
    </row>
    <row r="258" spans="1:2" x14ac:dyDescent="0.3">
      <c r="A258" s="6"/>
      <c r="B258" s="8"/>
    </row>
    <row r="259" spans="1:2" x14ac:dyDescent="0.3">
      <c r="A259" s="6"/>
      <c r="B259" s="8"/>
    </row>
    <row r="260" spans="1:2" x14ac:dyDescent="0.3">
      <c r="A260" s="6"/>
      <c r="B260" s="8"/>
    </row>
    <row r="261" spans="1:2" x14ac:dyDescent="0.3">
      <c r="A261" s="6"/>
      <c r="B261" s="8"/>
    </row>
    <row r="262" spans="1:2" x14ac:dyDescent="0.3">
      <c r="A262" s="6"/>
      <c r="B262" s="8"/>
    </row>
    <row r="263" spans="1:2" x14ac:dyDescent="0.3">
      <c r="A263" s="6"/>
      <c r="B263" s="8"/>
    </row>
    <row r="264" spans="1:2" x14ac:dyDescent="0.3">
      <c r="A264" s="6"/>
      <c r="B264" s="8"/>
    </row>
    <row r="265" spans="1:2" x14ac:dyDescent="0.3">
      <c r="A265" s="6"/>
      <c r="B265" s="8"/>
    </row>
    <row r="266" spans="1:2" x14ac:dyDescent="0.3">
      <c r="A266" s="6"/>
      <c r="B266" s="8"/>
    </row>
    <row r="267" spans="1:2" x14ac:dyDescent="0.3">
      <c r="A267" s="6"/>
      <c r="B267" s="8"/>
    </row>
    <row r="268" spans="1:2" x14ac:dyDescent="0.3">
      <c r="A268" s="6"/>
      <c r="B268" s="8"/>
    </row>
    <row r="269" spans="1:2" x14ac:dyDescent="0.3">
      <c r="A269" s="6"/>
      <c r="B269" s="8"/>
    </row>
    <row r="270" spans="1:2" x14ac:dyDescent="0.3">
      <c r="A270" s="6"/>
      <c r="B270" s="8"/>
    </row>
    <row r="271" spans="1:2" x14ac:dyDescent="0.3">
      <c r="A271" s="6"/>
      <c r="B271" s="8"/>
    </row>
    <row r="272" spans="1:2" x14ac:dyDescent="0.3">
      <c r="A272" s="6"/>
      <c r="B272" s="8"/>
    </row>
    <row r="273" spans="1:2" x14ac:dyDescent="0.3">
      <c r="A273" s="6"/>
      <c r="B273" s="8"/>
    </row>
    <row r="274" spans="1:2" x14ac:dyDescent="0.3">
      <c r="A274" s="6"/>
      <c r="B274" s="8"/>
    </row>
    <row r="275" spans="1:2" x14ac:dyDescent="0.3">
      <c r="A275" s="6"/>
      <c r="B275" s="8"/>
    </row>
    <row r="276" spans="1:2" x14ac:dyDescent="0.3">
      <c r="A276" s="6"/>
      <c r="B276" s="8"/>
    </row>
    <row r="277" spans="1:2" x14ac:dyDescent="0.3">
      <c r="A277" s="6"/>
      <c r="B277" s="8"/>
    </row>
    <row r="278" spans="1:2" x14ac:dyDescent="0.3">
      <c r="A278" s="6"/>
      <c r="B278" s="8"/>
    </row>
    <row r="279" spans="1:2" x14ac:dyDescent="0.3">
      <c r="A279" s="6"/>
      <c r="B279" s="8"/>
    </row>
    <row r="280" spans="1:2" x14ac:dyDescent="0.3">
      <c r="A280" s="6"/>
      <c r="B280" s="8"/>
    </row>
    <row r="281" spans="1:2" x14ac:dyDescent="0.3">
      <c r="A281" s="6"/>
      <c r="B281" s="8"/>
    </row>
    <row r="282" spans="1:2" x14ac:dyDescent="0.3">
      <c r="A282" s="6"/>
      <c r="B282" s="8"/>
    </row>
    <row r="283" spans="1:2" x14ac:dyDescent="0.3">
      <c r="A283" s="6"/>
      <c r="B283" s="8"/>
    </row>
    <row r="284" spans="1:2" x14ac:dyDescent="0.3">
      <c r="A284" s="6"/>
      <c r="B284" s="8"/>
    </row>
    <row r="285" spans="1:2" x14ac:dyDescent="0.3">
      <c r="A285" s="6"/>
      <c r="B285" s="8"/>
    </row>
    <row r="286" spans="1:2" x14ac:dyDescent="0.3">
      <c r="A286" s="6"/>
      <c r="B286" s="8"/>
    </row>
    <row r="287" spans="1:2" x14ac:dyDescent="0.3">
      <c r="A287" s="6"/>
      <c r="B287" s="8"/>
    </row>
    <row r="288" spans="1:2" x14ac:dyDescent="0.3">
      <c r="A288" s="6"/>
      <c r="B288" s="8"/>
    </row>
    <row r="289" spans="1:2" x14ac:dyDescent="0.3">
      <c r="A289" s="6"/>
      <c r="B289" s="8"/>
    </row>
    <row r="290" spans="1:2" x14ac:dyDescent="0.3">
      <c r="A290" s="6"/>
      <c r="B290" s="8"/>
    </row>
    <row r="291" spans="1:2" x14ac:dyDescent="0.3">
      <c r="A291" s="6"/>
      <c r="B291" s="8"/>
    </row>
    <row r="292" spans="1:2" x14ac:dyDescent="0.3">
      <c r="A292" s="6"/>
      <c r="B292" s="8"/>
    </row>
    <row r="293" spans="1:2" x14ac:dyDescent="0.3">
      <c r="A293" s="6"/>
      <c r="B293" s="8"/>
    </row>
    <row r="294" spans="1:2" x14ac:dyDescent="0.3">
      <c r="A294" s="6"/>
      <c r="B294" s="8"/>
    </row>
    <row r="295" spans="1:2" x14ac:dyDescent="0.3">
      <c r="A295" s="6"/>
      <c r="B295" s="8"/>
    </row>
    <row r="296" spans="1:2" x14ac:dyDescent="0.3">
      <c r="A296" s="6"/>
      <c r="B296" s="8"/>
    </row>
    <row r="297" spans="1:2" x14ac:dyDescent="0.3">
      <c r="A297" s="6"/>
      <c r="B297" s="8"/>
    </row>
    <row r="298" spans="1:2" x14ac:dyDescent="0.3">
      <c r="A298" s="6"/>
      <c r="B298" s="8"/>
    </row>
    <row r="299" spans="1:2" x14ac:dyDescent="0.3">
      <c r="A299" s="6"/>
      <c r="B299" s="8"/>
    </row>
    <row r="300" spans="1:2" x14ac:dyDescent="0.3">
      <c r="A300" s="6"/>
      <c r="B300" s="8"/>
    </row>
    <row r="301" spans="1:2" x14ac:dyDescent="0.3">
      <c r="A301" s="6"/>
      <c r="B301" s="8"/>
    </row>
    <row r="302" spans="1:2" x14ac:dyDescent="0.3">
      <c r="A302" s="6"/>
      <c r="B302" s="8"/>
    </row>
    <row r="303" spans="1:2" x14ac:dyDescent="0.3">
      <c r="A303" s="6"/>
      <c r="B303" s="8"/>
    </row>
    <row r="304" spans="1:2" x14ac:dyDescent="0.3">
      <c r="A304" s="6"/>
      <c r="B304" s="8"/>
    </row>
    <row r="305" spans="1:2" x14ac:dyDescent="0.3">
      <c r="A305" s="6"/>
      <c r="B305" s="8"/>
    </row>
    <row r="306" spans="1:2" x14ac:dyDescent="0.3">
      <c r="A306" s="6"/>
      <c r="B306" s="8"/>
    </row>
    <row r="307" spans="1:2" x14ac:dyDescent="0.3">
      <c r="A307" s="6"/>
      <c r="B307" s="8"/>
    </row>
    <row r="308" spans="1:2" x14ac:dyDescent="0.3">
      <c r="A308" s="6"/>
      <c r="B308" s="8"/>
    </row>
    <row r="309" spans="1:2" x14ac:dyDescent="0.3">
      <c r="A309" s="6"/>
      <c r="B309" s="8"/>
    </row>
    <row r="310" spans="1:2" x14ac:dyDescent="0.3">
      <c r="A310" s="6"/>
      <c r="B310" s="8"/>
    </row>
    <row r="311" spans="1:2" x14ac:dyDescent="0.3">
      <c r="A311" s="6"/>
      <c r="B311" s="8"/>
    </row>
    <row r="312" spans="1:2" x14ac:dyDescent="0.3">
      <c r="A312" s="6"/>
      <c r="B312" s="8"/>
    </row>
    <row r="313" spans="1:2" x14ac:dyDescent="0.3">
      <c r="A313" s="6"/>
      <c r="B313" s="8"/>
    </row>
    <row r="314" spans="1:2" x14ac:dyDescent="0.3">
      <c r="A314" s="6"/>
      <c r="B314" s="8"/>
    </row>
    <row r="315" spans="1:2" x14ac:dyDescent="0.3">
      <c r="A315" s="6"/>
      <c r="B315" s="8"/>
    </row>
    <row r="316" spans="1:2" x14ac:dyDescent="0.3">
      <c r="A316" s="6"/>
      <c r="B316" s="8"/>
    </row>
    <row r="317" spans="1:2" x14ac:dyDescent="0.3">
      <c r="A317" s="6"/>
      <c r="B317" s="8"/>
    </row>
    <row r="318" spans="1:2" x14ac:dyDescent="0.3">
      <c r="A318" s="6"/>
      <c r="B318" s="8"/>
    </row>
    <row r="319" spans="1:2" x14ac:dyDescent="0.3">
      <c r="A319" s="6"/>
      <c r="B319" s="8"/>
    </row>
    <row r="320" spans="1:2" x14ac:dyDescent="0.3">
      <c r="A320" s="6"/>
      <c r="B320" s="8"/>
    </row>
    <row r="321" spans="1:2" x14ac:dyDescent="0.3">
      <c r="A321" s="6"/>
      <c r="B321" s="8"/>
    </row>
    <row r="322" spans="1:2" x14ac:dyDescent="0.3">
      <c r="A322" s="6"/>
      <c r="B322" s="8"/>
    </row>
    <row r="323" spans="1:2" x14ac:dyDescent="0.3">
      <c r="A323" s="6"/>
      <c r="B323" s="8"/>
    </row>
    <row r="324" spans="1:2" x14ac:dyDescent="0.3">
      <c r="A324" s="6"/>
      <c r="B324" s="8"/>
    </row>
    <row r="325" spans="1:2" x14ac:dyDescent="0.3">
      <c r="A325" s="6"/>
      <c r="B325" s="8"/>
    </row>
    <row r="326" spans="1:2" x14ac:dyDescent="0.3">
      <c r="A326" s="6"/>
      <c r="B326" s="8"/>
    </row>
    <row r="327" spans="1:2" x14ac:dyDescent="0.3">
      <c r="A327" s="6"/>
      <c r="B327" s="8"/>
    </row>
    <row r="328" spans="1:2" x14ac:dyDescent="0.3">
      <c r="A328" s="6"/>
      <c r="B328" s="8"/>
    </row>
    <row r="329" spans="1:2" x14ac:dyDescent="0.3">
      <c r="A329" s="6"/>
      <c r="B329" s="8"/>
    </row>
    <row r="330" spans="1:2" x14ac:dyDescent="0.3">
      <c r="A330" s="6"/>
      <c r="B330" s="8"/>
    </row>
    <row r="331" spans="1:2" x14ac:dyDescent="0.3">
      <c r="A331" s="6"/>
      <c r="B331" s="8"/>
    </row>
    <row r="332" spans="1:2" x14ac:dyDescent="0.3">
      <c r="A332" s="6"/>
      <c r="B332" s="8"/>
    </row>
    <row r="333" spans="1:2" x14ac:dyDescent="0.3">
      <c r="A333" s="6"/>
      <c r="B333" s="8"/>
    </row>
    <row r="334" spans="1:2" x14ac:dyDescent="0.3">
      <c r="A334" s="6"/>
      <c r="B334" s="8"/>
    </row>
    <row r="335" spans="1:2" x14ac:dyDescent="0.3">
      <c r="A335" s="6"/>
      <c r="B335" s="8"/>
    </row>
    <row r="336" spans="1:2" x14ac:dyDescent="0.3">
      <c r="A336" s="6"/>
      <c r="B336" s="8"/>
    </row>
    <row r="337" spans="1:2" x14ac:dyDescent="0.3">
      <c r="A337" s="6"/>
      <c r="B337" s="8"/>
    </row>
    <row r="338" spans="1:2" x14ac:dyDescent="0.3">
      <c r="A338" s="6"/>
      <c r="B338" s="8"/>
    </row>
    <row r="339" spans="1:2" x14ac:dyDescent="0.3">
      <c r="A339" s="6"/>
      <c r="B339" s="8"/>
    </row>
    <row r="340" spans="1:2" x14ac:dyDescent="0.3">
      <c r="A340" s="6"/>
      <c r="B340" s="8"/>
    </row>
    <row r="341" spans="1:2" x14ac:dyDescent="0.3">
      <c r="A341" s="6"/>
      <c r="B341" s="8"/>
    </row>
    <row r="342" spans="1:2" x14ac:dyDescent="0.3">
      <c r="A342" s="6"/>
      <c r="B342" s="8"/>
    </row>
    <row r="343" spans="1:2" x14ac:dyDescent="0.3">
      <c r="A343" s="6"/>
      <c r="B343" s="8"/>
    </row>
    <row r="344" spans="1:2" x14ac:dyDescent="0.3">
      <c r="A344" s="6"/>
      <c r="B344" s="8"/>
    </row>
    <row r="345" spans="1:2" x14ac:dyDescent="0.3">
      <c r="A345" s="6"/>
      <c r="B345" s="8"/>
    </row>
    <row r="346" spans="1:2" x14ac:dyDescent="0.3">
      <c r="A346" s="6"/>
      <c r="B346" s="8"/>
    </row>
    <row r="347" spans="1:2" x14ac:dyDescent="0.3">
      <c r="A347" s="6"/>
      <c r="B347" s="8"/>
    </row>
    <row r="348" spans="1:2" x14ac:dyDescent="0.3">
      <c r="A348" s="6"/>
      <c r="B348" s="8"/>
    </row>
    <row r="349" spans="1:2" x14ac:dyDescent="0.3">
      <c r="A349" s="6"/>
      <c r="B349" s="8"/>
    </row>
    <row r="350" spans="1:2" x14ac:dyDescent="0.3">
      <c r="A350" s="6"/>
      <c r="B350" s="8"/>
    </row>
    <row r="351" spans="1:2" x14ac:dyDescent="0.3">
      <c r="A351" s="6"/>
      <c r="B351" s="8"/>
    </row>
    <row r="352" spans="1:2" x14ac:dyDescent="0.3">
      <c r="A352" s="6"/>
      <c r="B352" s="8"/>
    </row>
    <row r="353" spans="1:2" x14ac:dyDescent="0.3">
      <c r="A353" s="6"/>
      <c r="B353" s="8"/>
    </row>
    <row r="354" spans="1:2" x14ac:dyDescent="0.3">
      <c r="A354" s="6"/>
      <c r="B354" s="8"/>
    </row>
    <row r="355" spans="1:2" x14ac:dyDescent="0.3">
      <c r="A355" s="6"/>
      <c r="B355" s="8"/>
    </row>
    <row r="356" spans="1:2" x14ac:dyDescent="0.3">
      <c r="A356" s="6"/>
      <c r="B356" s="8"/>
    </row>
    <row r="357" spans="1:2" x14ac:dyDescent="0.3">
      <c r="A357" s="6"/>
      <c r="B357" s="8"/>
    </row>
    <row r="358" spans="1:2" x14ac:dyDescent="0.3">
      <c r="A358" s="6"/>
      <c r="B358" s="8"/>
    </row>
    <row r="359" spans="1:2" x14ac:dyDescent="0.3">
      <c r="A359" s="6"/>
      <c r="B359" s="8"/>
    </row>
    <row r="360" spans="1:2" x14ac:dyDescent="0.3">
      <c r="A360" s="6"/>
      <c r="B360" s="8"/>
    </row>
    <row r="361" spans="1:2" x14ac:dyDescent="0.3">
      <c r="A361" s="6"/>
      <c r="B361" s="8"/>
    </row>
    <row r="362" spans="1:2" x14ac:dyDescent="0.3">
      <c r="A362" s="6"/>
      <c r="B362" s="8"/>
    </row>
    <row r="363" spans="1:2" x14ac:dyDescent="0.3">
      <c r="A363" s="6"/>
      <c r="B363" s="8"/>
    </row>
    <row r="364" spans="1:2" x14ac:dyDescent="0.3">
      <c r="A364" s="6"/>
      <c r="B364" s="8"/>
    </row>
    <row r="365" spans="1:2" x14ac:dyDescent="0.3">
      <c r="A365" s="6"/>
      <c r="B365" s="8"/>
    </row>
    <row r="366" spans="1:2" x14ac:dyDescent="0.3">
      <c r="A366" s="6"/>
      <c r="B366" s="8"/>
    </row>
    <row r="367" spans="1:2" x14ac:dyDescent="0.3">
      <c r="A367" s="6"/>
      <c r="B367" s="8"/>
    </row>
    <row r="368" spans="1:2" x14ac:dyDescent="0.3">
      <c r="A368" s="6"/>
      <c r="B368" s="8"/>
    </row>
    <row r="369" spans="1:2" x14ac:dyDescent="0.3">
      <c r="A369" s="6"/>
      <c r="B369" s="8"/>
    </row>
    <row r="370" spans="1:2" x14ac:dyDescent="0.3">
      <c r="A370" s="6"/>
      <c r="B370" s="8"/>
    </row>
    <row r="371" spans="1:2" x14ac:dyDescent="0.3">
      <c r="A371" s="6"/>
      <c r="B371" s="8"/>
    </row>
    <row r="372" spans="1:2" x14ac:dyDescent="0.3">
      <c r="A372" s="6"/>
      <c r="B372" s="8"/>
    </row>
    <row r="373" spans="1:2" x14ac:dyDescent="0.3">
      <c r="A373" s="6"/>
      <c r="B373" s="8"/>
    </row>
    <row r="374" spans="1:2" x14ac:dyDescent="0.3">
      <c r="A374" s="6"/>
      <c r="B374" s="8"/>
    </row>
    <row r="375" spans="1:2" x14ac:dyDescent="0.3">
      <c r="A375" s="6"/>
      <c r="B375" s="8"/>
    </row>
    <row r="376" spans="1:2" x14ac:dyDescent="0.3">
      <c r="A376" s="6"/>
      <c r="B376" s="8"/>
    </row>
    <row r="377" spans="1:2" x14ac:dyDescent="0.3">
      <c r="A377" s="6"/>
      <c r="B377" s="8"/>
    </row>
    <row r="378" spans="1:2" x14ac:dyDescent="0.3">
      <c r="A378" s="6"/>
      <c r="B378" s="8"/>
    </row>
    <row r="379" spans="1:2" x14ac:dyDescent="0.3">
      <c r="A379" s="6"/>
      <c r="B379" s="8"/>
    </row>
    <row r="380" spans="1:2" x14ac:dyDescent="0.3">
      <c r="A380" s="6"/>
      <c r="B380" s="8"/>
    </row>
    <row r="381" spans="1:2" x14ac:dyDescent="0.3">
      <c r="A381" s="6"/>
      <c r="B381" s="8"/>
    </row>
    <row r="382" spans="1:2" x14ac:dyDescent="0.3">
      <c r="A382" s="6"/>
      <c r="B382" s="8"/>
    </row>
    <row r="383" spans="1:2" x14ac:dyDescent="0.3">
      <c r="A383" s="6"/>
      <c r="B383" s="8"/>
    </row>
    <row r="384" spans="1:2" x14ac:dyDescent="0.3">
      <c r="A384" s="6"/>
      <c r="B384" s="8"/>
    </row>
    <row r="385" spans="1:2" x14ac:dyDescent="0.3">
      <c r="A385" s="6"/>
      <c r="B385" s="8"/>
    </row>
    <row r="386" spans="1:2" x14ac:dyDescent="0.3">
      <c r="A386" s="6"/>
      <c r="B386" s="8"/>
    </row>
    <row r="387" spans="1:2" x14ac:dyDescent="0.3">
      <c r="A387" s="6"/>
      <c r="B387" s="8"/>
    </row>
    <row r="388" spans="1:2" x14ac:dyDescent="0.3">
      <c r="A388" s="6"/>
      <c r="B388" s="8"/>
    </row>
    <row r="389" spans="1:2" x14ac:dyDescent="0.3">
      <c r="A389" s="6"/>
      <c r="B389" s="8"/>
    </row>
    <row r="390" spans="1:2" x14ac:dyDescent="0.3">
      <c r="A390" s="6"/>
      <c r="B390" s="8"/>
    </row>
    <row r="391" spans="1:2" x14ac:dyDescent="0.3">
      <c r="A391" s="6"/>
      <c r="B391" s="8"/>
    </row>
    <row r="392" spans="1:2" x14ac:dyDescent="0.3">
      <c r="A392" s="6"/>
      <c r="B392" s="8"/>
    </row>
    <row r="393" spans="1:2" x14ac:dyDescent="0.3">
      <c r="A393" s="6"/>
      <c r="B393" s="8"/>
    </row>
    <row r="394" spans="1:2" x14ac:dyDescent="0.3">
      <c r="A394" s="6"/>
      <c r="B394" s="8"/>
    </row>
    <row r="395" spans="1:2" x14ac:dyDescent="0.3">
      <c r="A395" s="6"/>
      <c r="B395" s="8"/>
    </row>
    <row r="396" spans="1:2" x14ac:dyDescent="0.3">
      <c r="A396" s="6"/>
      <c r="B396" s="8"/>
    </row>
    <row r="397" spans="1:2" x14ac:dyDescent="0.3">
      <c r="A397" s="6"/>
      <c r="B397" s="8"/>
    </row>
    <row r="398" spans="1:2" x14ac:dyDescent="0.3">
      <c r="A398" s="6"/>
      <c r="B398" s="8"/>
    </row>
    <row r="399" spans="1:2" x14ac:dyDescent="0.3">
      <c r="A399" s="6"/>
      <c r="B399" s="8"/>
    </row>
    <row r="400" spans="1:2" x14ac:dyDescent="0.3">
      <c r="A400" s="6"/>
      <c r="B400" s="8"/>
    </row>
    <row r="401" spans="1:2" x14ac:dyDescent="0.3">
      <c r="A401" s="6"/>
      <c r="B401" s="8"/>
    </row>
    <row r="402" spans="1:2" x14ac:dyDescent="0.3">
      <c r="A402" s="6"/>
      <c r="B402" s="8"/>
    </row>
    <row r="403" spans="1:2" x14ac:dyDescent="0.3">
      <c r="A403" s="6"/>
      <c r="B403" s="8"/>
    </row>
    <row r="404" spans="1:2" x14ac:dyDescent="0.3">
      <c r="A404" s="6"/>
      <c r="B404" s="8"/>
    </row>
    <row r="405" spans="1:2" x14ac:dyDescent="0.3">
      <c r="A405" s="6"/>
      <c r="B405" s="8"/>
    </row>
    <row r="406" spans="1:2" x14ac:dyDescent="0.3">
      <c r="A406" s="6"/>
      <c r="B406" s="8"/>
    </row>
    <row r="407" spans="1:2" x14ac:dyDescent="0.3">
      <c r="A407" s="6"/>
      <c r="B407" s="8"/>
    </row>
    <row r="408" spans="1:2" x14ac:dyDescent="0.3">
      <c r="A408" s="6"/>
      <c r="B408" s="8"/>
    </row>
    <row r="409" spans="1:2" x14ac:dyDescent="0.3">
      <c r="A409" s="6"/>
      <c r="B409" s="8"/>
    </row>
    <row r="410" spans="1:2" x14ac:dyDescent="0.3">
      <c r="A410" s="6"/>
      <c r="B410" s="8"/>
    </row>
    <row r="411" spans="1:2" x14ac:dyDescent="0.3">
      <c r="A411" s="6"/>
      <c r="B411" s="8"/>
    </row>
    <row r="412" spans="1:2" x14ac:dyDescent="0.3">
      <c r="A412" s="6"/>
      <c r="B412" s="8"/>
    </row>
    <row r="413" spans="1:2" x14ac:dyDescent="0.3">
      <c r="A413" s="6"/>
      <c r="B413" s="8"/>
    </row>
    <row r="414" spans="1:2" x14ac:dyDescent="0.3">
      <c r="A414" s="6"/>
      <c r="B414" s="8"/>
    </row>
    <row r="415" spans="1:2" x14ac:dyDescent="0.3">
      <c r="A415" s="6"/>
      <c r="B415" s="8"/>
    </row>
    <row r="416" spans="1:2" x14ac:dyDescent="0.3">
      <c r="A416" s="6"/>
      <c r="B416" s="8"/>
    </row>
    <row r="417" spans="1:2" x14ac:dyDescent="0.3">
      <c r="A417" s="6"/>
      <c r="B417" s="8"/>
    </row>
    <row r="418" spans="1:2" x14ac:dyDescent="0.3">
      <c r="A418" s="6"/>
      <c r="B418" s="8"/>
    </row>
    <row r="419" spans="1:2" x14ac:dyDescent="0.3">
      <c r="A419" s="6"/>
      <c r="B419" s="8"/>
    </row>
    <row r="420" spans="1:2" x14ac:dyDescent="0.3">
      <c r="A420" s="6"/>
      <c r="B420" s="8"/>
    </row>
    <row r="421" spans="1:2" x14ac:dyDescent="0.3">
      <c r="A421" s="6"/>
      <c r="B421" s="8"/>
    </row>
    <row r="422" spans="1:2" x14ac:dyDescent="0.3">
      <c r="A422" s="6"/>
      <c r="B422" s="8"/>
    </row>
    <row r="423" spans="1:2" x14ac:dyDescent="0.3">
      <c r="A423" s="6"/>
      <c r="B423" s="8"/>
    </row>
    <row r="424" spans="1:2" x14ac:dyDescent="0.3">
      <c r="A424" s="6"/>
      <c r="B424" s="8"/>
    </row>
    <row r="425" spans="1:2" x14ac:dyDescent="0.3">
      <c r="A425" s="6"/>
      <c r="B425" s="8"/>
    </row>
    <row r="426" spans="1:2" x14ac:dyDescent="0.3">
      <c r="A426" s="6"/>
      <c r="B426" s="8"/>
    </row>
    <row r="427" spans="1:2" x14ac:dyDescent="0.3">
      <c r="A427" s="6"/>
      <c r="B427" s="8"/>
    </row>
    <row r="428" spans="1:2" x14ac:dyDescent="0.3">
      <c r="A428" s="6"/>
      <c r="B428" s="8"/>
    </row>
    <row r="429" spans="1:2" x14ac:dyDescent="0.3">
      <c r="A429" s="6"/>
      <c r="B429" s="8"/>
    </row>
    <row r="430" spans="1:2" x14ac:dyDescent="0.3">
      <c r="A430" s="6"/>
      <c r="B430" s="8"/>
    </row>
    <row r="431" spans="1:2" x14ac:dyDescent="0.3">
      <c r="A431" s="6"/>
      <c r="B431" s="8"/>
    </row>
    <row r="432" spans="1:2" x14ac:dyDescent="0.3">
      <c r="A432" s="6"/>
      <c r="B432" s="8"/>
    </row>
    <row r="433" spans="1:2" x14ac:dyDescent="0.3">
      <c r="A433" s="6"/>
      <c r="B433" s="8"/>
    </row>
    <row r="434" spans="1:2" x14ac:dyDescent="0.3">
      <c r="A434" s="6"/>
      <c r="B434" s="8"/>
    </row>
    <row r="435" spans="1:2" x14ac:dyDescent="0.3">
      <c r="A435" s="6"/>
      <c r="B435" s="8"/>
    </row>
    <row r="436" spans="1:2" x14ac:dyDescent="0.3">
      <c r="A436" s="6"/>
      <c r="B436" s="8"/>
    </row>
    <row r="437" spans="1:2" x14ac:dyDescent="0.3">
      <c r="A437" s="6"/>
      <c r="B437" s="8"/>
    </row>
    <row r="438" spans="1:2" x14ac:dyDescent="0.3">
      <c r="A438" s="6"/>
      <c r="B438" s="8"/>
    </row>
    <row r="439" spans="1:2" x14ac:dyDescent="0.3">
      <c r="A439" s="6"/>
      <c r="B439" s="8"/>
    </row>
    <row r="440" spans="1:2" x14ac:dyDescent="0.3">
      <c r="A440" s="6"/>
      <c r="B440" s="8"/>
    </row>
    <row r="441" spans="1:2" x14ac:dyDescent="0.3">
      <c r="A441" s="6"/>
      <c r="B441" s="8"/>
    </row>
    <row r="442" spans="1:2" x14ac:dyDescent="0.3">
      <c r="A442" s="6"/>
      <c r="B442" s="8"/>
    </row>
    <row r="443" spans="1:2" x14ac:dyDescent="0.3">
      <c r="A443" s="6"/>
      <c r="B443" s="8"/>
    </row>
    <row r="444" spans="1:2" x14ac:dyDescent="0.3">
      <c r="A444" s="6"/>
      <c r="B444" s="8"/>
    </row>
    <row r="445" spans="1:2" x14ac:dyDescent="0.3">
      <c r="A445" s="6"/>
      <c r="B445" s="8"/>
    </row>
    <row r="446" spans="1:2" x14ac:dyDescent="0.3">
      <c r="A446" s="6"/>
      <c r="B446" s="8"/>
    </row>
    <row r="447" spans="1:2" x14ac:dyDescent="0.3">
      <c r="A447" s="6"/>
      <c r="B447" s="8"/>
    </row>
    <row r="448" spans="1:2" x14ac:dyDescent="0.3">
      <c r="A448" s="6"/>
      <c r="B448" s="8"/>
    </row>
    <row r="449" spans="1:2" x14ac:dyDescent="0.3">
      <c r="A449" s="6"/>
      <c r="B449" s="8"/>
    </row>
    <row r="450" spans="1:2" x14ac:dyDescent="0.3">
      <c r="A450" s="6"/>
      <c r="B450" s="8"/>
    </row>
    <row r="451" spans="1:2" x14ac:dyDescent="0.3">
      <c r="A451" s="6"/>
      <c r="B451" s="8"/>
    </row>
    <row r="452" spans="1:2" x14ac:dyDescent="0.3">
      <c r="A452" s="6"/>
      <c r="B452" s="8"/>
    </row>
    <row r="453" spans="1:2" x14ac:dyDescent="0.3">
      <c r="A453" s="6"/>
      <c r="B453" s="8"/>
    </row>
    <row r="454" spans="1:2" x14ac:dyDescent="0.3">
      <c r="A454" s="6"/>
      <c r="B454" s="8"/>
    </row>
    <row r="455" spans="1:2" x14ac:dyDescent="0.3">
      <c r="A455" s="6"/>
      <c r="B455" s="8"/>
    </row>
    <row r="456" spans="1:2" x14ac:dyDescent="0.3">
      <c r="A456" s="6"/>
      <c r="B456" s="8"/>
    </row>
    <row r="457" spans="1:2" x14ac:dyDescent="0.3">
      <c r="A457" s="6"/>
      <c r="B457" s="8"/>
    </row>
    <row r="458" spans="1:2" x14ac:dyDescent="0.3">
      <c r="A458" s="6"/>
      <c r="B458" s="8"/>
    </row>
    <row r="459" spans="1:2" x14ac:dyDescent="0.3">
      <c r="A459" s="6"/>
      <c r="B459" s="8"/>
    </row>
    <row r="460" spans="1:2" x14ac:dyDescent="0.3">
      <c r="A460" s="6"/>
      <c r="B460" s="8"/>
    </row>
    <row r="461" spans="1:2" x14ac:dyDescent="0.3">
      <c r="A461" s="6"/>
      <c r="B461" s="8"/>
    </row>
    <row r="462" spans="1:2" x14ac:dyDescent="0.3">
      <c r="A462" s="6"/>
      <c r="B462" s="8"/>
    </row>
    <row r="463" spans="1:2" x14ac:dyDescent="0.3">
      <c r="A463" s="6"/>
      <c r="B463" s="8"/>
    </row>
    <row r="464" spans="1:2" x14ac:dyDescent="0.3">
      <c r="A464" s="6"/>
      <c r="B464" s="8"/>
    </row>
    <row r="465" spans="1:2" x14ac:dyDescent="0.3">
      <c r="A465" s="6"/>
      <c r="B465" s="8"/>
    </row>
    <row r="466" spans="1:2" x14ac:dyDescent="0.3">
      <c r="A466" s="6"/>
      <c r="B466" s="8"/>
    </row>
    <row r="467" spans="1:2" x14ac:dyDescent="0.3">
      <c r="A467" s="6"/>
      <c r="B467" s="8"/>
    </row>
    <row r="468" spans="1:2" x14ac:dyDescent="0.3">
      <c r="A468" s="6"/>
      <c r="B468" s="8"/>
    </row>
    <row r="469" spans="1:2" x14ac:dyDescent="0.3">
      <c r="A469" s="6"/>
      <c r="B469" s="8"/>
    </row>
    <row r="470" spans="1:2" x14ac:dyDescent="0.3">
      <c r="A470" s="6"/>
      <c r="B470" s="8"/>
    </row>
    <row r="471" spans="1:2" x14ac:dyDescent="0.3">
      <c r="A471" s="6"/>
      <c r="B471" s="8"/>
    </row>
    <row r="472" spans="1:2" x14ac:dyDescent="0.3">
      <c r="A472" s="6"/>
      <c r="B472" s="8"/>
    </row>
    <row r="473" spans="1:2" x14ac:dyDescent="0.3">
      <c r="A473" s="6"/>
      <c r="B473" s="8"/>
    </row>
    <row r="474" spans="1:2" x14ac:dyDescent="0.3">
      <c r="A474" s="6"/>
      <c r="B474" s="8"/>
    </row>
    <row r="475" spans="1:2" x14ac:dyDescent="0.3">
      <c r="A475" s="6"/>
      <c r="B475" s="8"/>
    </row>
    <row r="476" spans="1:2" x14ac:dyDescent="0.3">
      <c r="A476" s="6"/>
      <c r="B476" s="8"/>
    </row>
    <row r="477" spans="1:2" x14ac:dyDescent="0.3">
      <c r="A477" s="6"/>
      <c r="B477" s="8"/>
    </row>
    <row r="478" spans="1:2" x14ac:dyDescent="0.3">
      <c r="A478" s="6"/>
      <c r="B478" s="8"/>
    </row>
    <row r="479" spans="1:2" x14ac:dyDescent="0.3">
      <c r="A479" s="6"/>
      <c r="B479" s="8"/>
    </row>
    <row r="480" spans="1:2" x14ac:dyDescent="0.3">
      <c r="A480" s="6"/>
      <c r="B480" s="8"/>
    </row>
    <row r="481" spans="1:2" x14ac:dyDescent="0.3">
      <c r="A481" s="6"/>
      <c r="B481" s="8"/>
    </row>
    <row r="482" spans="1:2" x14ac:dyDescent="0.3">
      <c r="A482" s="6"/>
      <c r="B482" s="8"/>
    </row>
    <row r="483" spans="1:2" x14ac:dyDescent="0.3">
      <c r="A483" s="6"/>
      <c r="B483" s="8"/>
    </row>
    <row r="484" spans="1:2" x14ac:dyDescent="0.3">
      <c r="A484" s="6"/>
      <c r="B484" s="8"/>
    </row>
    <row r="485" spans="1:2" x14ac:dyDescent="0.3">
      <c r="A485" s="6"/>
      <c r="B485" s="8"/>
    </row>
    <row r="486" spans="1:2" x14ac:dyDescent="0.3">
      <c r="A486" s="6"/>
      <c r="B486" s="8"/>
    </row>
    <row r="487" spans="1:2" x14ac:dyDescent="0.3">
      <c r="A487" s="6"/>
      <c r="B487" s="8"/>
    </row>
    <row r="488" spans="1:2" x14ac:dyDescent="0.3">
      <c r="A488" s="6"/>
      <c r="B488" s="8"/>
    </row>
    <row r="489" spans="1:2" x14ac:dyDescent="0.3">
      <c r="A489" s="6"/>
      <c r="B489" s="8"/>
    </row>
    <row r="490" spans="1:2" x14ac:dyDescent="0.3">
      <c r="A490" s="6"/>
      <c r="B490" s="8"/>
    </row>
    <row r="491" spans="1:2" x14ac:dyDescent="0.3">
      <c r="A491" s="6"/>
      <c r="B491" s="8"/>
    </row>
    <row r="492" spans="1:2" x14ac:dyDescent="0.3">
      <c r="A492" s="6"/>
      <c r="B492" s="8"/>
    </row>
    <row r="493" spans="1:2" x14ac:dyDescent="0.3">
      <c r="A493" s="6"/>
      <c r="B493" s="8"/>
    </row>
    <row r="494" spans="1:2" x14ac:dyDescent="0.3">
      <c r="A494" s="6"/>
      <c r="B494" s="8"/>
    </row>
    <row r="495" spans="1:2" x14ac:dyDescent="0.3">
      <c r="A495" s="6"/>
      <c r="B495" s="8"/>
    </row>
    <row r="496" spans="1:2" x14ac:dyDescent="0.3">
      <c r="A496" s="6"/>
      <c r="B496" s="8"/>
    </row>
    <row r="497" spans="1:2" x14ac:dyDescent="0.3">
      <c r="A497" s="6"/>
      <c r="B497" s="8"/>
    </row>
    <row r="498" spans="1:2" x14ac:dyDescent="0.3">
      <c r="A498" s="6"/>
      <c r="B498" s="8"/>
    </row>
    <row r="499" spans="1:2" x14ac:dyDescent="0.3">
      <c r="A499" s="6"/>
      <c r="B499" s="8"/>
    </row>
    <row r="500" spans="1:2" x14ac:dyDescent="0.3">
      <c r="A500" s="6"/>
      <c r="B500" s="8"/>
    </row>
    <row r="501" spans="1:2" x14ac:dyDescent="0.3">
      <c r="A501" s="6"/>
      <c r="B501" s="8"/>
    </row>
    <row r="502" spans="1:2" x14ac:dyDescent="0.3">
      <c r="A502" s="6"/>
      <c r="B502" s="8"/>
    </row>
    <row r="503" spans="1:2" x14ac:dyDescent="0.3">
      <c r="A503" s="6"/>
      <c r="B503" s="8"/>
    </row>
    <row r="504" spans="1:2" x14ac:dyDescent="0.3">
      <c r="A504" s="6"/>
      <c r="B504" s="8"/>
    </row>
    <row r="505" spans="1:2" x14ac:dyDescent="0.3">
      <c r="A505" s="6"/>
      <c r="B505" s="8"/>
    </row>
    <row r="506" spans="1:2" x14ac:dyDescent="0.3">
      <c r="A506" s="6"/>
      <c r="B506" s="8"/>
    </row>
    <row r="507" spans="1:2" x14ac:dyDescent="0.3">
      <c r="A507" s="6"/>
      <c r="B507" s="8"/>
    </row>
    <row r="508" spans="1:2" x14ac:dyDescent="0.3">
      <c r="A508" s="6"/>
      <c r="B508" s="8"/>
    </row>
    <row r="509" spans="1:2" x14ac:dyDescent="0.3">
      <c r="A509" s="6"/>
      <c r="B509" s="8"/>
    </row>
    <row r="510" spans="1:2" x14ac:dyDescent="0.3">
      <c r="A510" s="6"/>
      <c r="B510" s="8"/>
    </row>
    <row r="511" spans="1:2" x14ac:dyDescent="0.3">
      <c r="A511" s="6"/>
      <c r="B511" s="8"/>
    </row>
    <row r="512" spans="1:2" x14ac:dyDescent="0.3">
      <c r="A512" s="6"/>
      <c r="B512" s="8"/>
    </row>
    <row r="513" spans="1:2" x14ac:dyDescent="0.3">
      <c r="A513" s="6"/>
      <c r="B513" s="8"/>
    </row>
    <row r="514" spans="1:2" x14ac:dyDescent="0.3">
      <c r="A514" s="6"/>
      <c r="B514" s="8"/>
    </row>
    <row r="515" spans="1:2" x14ac:dyDescent="0.3">
      <c r="A515" s="6"/>
      <c r="B515" s="8"/>
    </row>
    <row r="516" spans="1:2" x14ac:dyDescent="0.3">
      <c r="A516" s="6"/>
      <c r="B516" s="8"/>
    </row>
    <row r="517" spans="1:2" x14ac:dyDescent="0.3">
      <c r="A517" s="6"/>
      <c r="B517" s="8"/>
    </row>
    <row r="518" spans="1:2" x14ac:dyDescent="0.3">
      <c r="A518" s="6"/>
      <c r="B518" s="8"/>
    </row>
    <row r="519" spans="1:2" x14ac:dyDescent="0.3">
      <c r="A519" s="6"/>
      <c r="B519" s="8"/>
    </row>
    <row r="520" spans="1:2" x14ac:dyDescent="0.3">
      <c r="A520" s="6"/>
      <c r="B520" s="8"/>
    </row>
    <row r="521" spans="1:2" x14ac:dyDescent="0.3">
      <c r="A521" s="6"/>
      <c r="B521" s="8"/>
    </row>
    <row r="522" spans="1:2" x14ac:dyDescent="0.3">
      <c r="A522" s="6"/>
      <c r="B522" s="8"/>
    </row>
    <row r="523" spans="1:2" x14ac:dyDescent="0.3">
      <c r="A523" s="6"/>
      <c r="B523" s="8"/>
    </row>
    <row r="524" spans="1:2" x14ac:dyDescent="0.3">
      <c r="A524" s="6"/>
      <c r="B524" s="8"/>
    </row>
    <row r="525" spans="1:2" x14ac:dyDescent="0.3">
      <c r="A525" s="6"/>
      <c r="B525" s="8"/>
    </row>
    <row r="526" spans="1:2" x14ac:dyDescent="0.3">
      <c r="A526" s="6"/>
      <c r="B526" s="8"/>
    </row>
    <row r="527" spans="1:2" x14ac:dyDescent="0.3">
      <c r="A527" s="6"/>
      <c r="B527" s="8"/>
    </row>
    <row r="528" spans="1:2" x14ac:dyDescent="0.3">
      <c r="A528" s="6"/>
      <c r="B528" s="8"/>
    </row>
    <row r="529" spans="1:2" x14ac:dyDescent="0.3">
      <c r="A529" s="6"/>
      <c r="B529" s="8"/>
    </row>
    <row r="530" spans="1:2" x14ac:dyDescent="0.3">
      <c r="A530" s="6"/>
      <c r="B530" s="8"/>
    </row>
    <row r="531" spans="1:2" x14ac:dyDescent="0.3">
      <c r="A531" s="6"/>
      <c r="B531" s="8"/>
    </row>
    <row r="532" spans="1:2" x14ac:dyDescent="0.3">
      <c r="A532" s="6"/>
      <c r="B532" s="8"/>
    </row>
    <row r="533" spans="1:2" x14ac:dyDescent="0.3">
      <c r="A533" s="6"/>
      <c r="B533" s="8"/>
    </row>
    <row r="534" spans="1:2" x14ac:dyDescent="0.3">
      <c r="A534" s="6"/>
      <c r="B534" s="8"/>
    </row>
    <row r="535" spans="1:2" x14ac:dyDescent="0.3">
      <c r="A535" s="6"/>
      <c r="B535" s="8"/>
    </row>
    <row r="536" spans="1:2" x14ac:dyDescent="0.3">
      <c r="A536" s="6"/>
      <c r="B536" s="8"/>
    </row>
    <row r="537" spans="1:2" x14ac:dyDescent="0.3">
      <c r="A537" s="6"/>
      <c r="B537" s="8"/>
    </row>
    <row r="538" spans="1:2" x14ac:dyDescent="0.3">
      <c r="A538" s="6"/>
      <c r="B538" s="8"/>
    </row>
    <row r="539" spans="1:2" x14ac:dyDescent="0.3">
      <c r="A539" s="6"/>
      <c r="B539" s="8"/>
    </row>
    <row r="540" spans="1:2" x14ac:dyDescent="0.3">
      <c r="A540" s="6"/>
      <c r="B540" s="8"/>
    </row>
    <row r="541" spans="1:2" x14ac:dyDescent="0.3">
      <c r="A541" s="6"/>
      <c r="B541" s="8"/>
    </row>
    <row r="542" spans="1:2" x14ac:dyDescent="0.3">
      <c r="A542" s="6"/>
      <c r="B542" s="8"/>
    </row>
    <row r="543" spans="1:2" x14ac:dyDescent="0.3">
      <c r="A543" s="6"/>
      <c r="B543" s="8"/>
    </row>
    <row r="544" spans="1:2" x14ac:dyDescent="0.3">
      <c r="A544" s="6"/>
      <c r="B544" s="8"/>
    </row>
    <row r="545" spans="1:2" x14ac:dyDescent="0.3">
      <c r="A545" s="6"/>
      <c r="B545" s="8"/>
    </row>
    <row r="546" spans="1:2" x14ac:dyDescent="0.3">
      <c r="A546" s="6"/>
      <c r="B546" s="8"/>
    </row>
    <row r="547" spans="1:2" x14ac:dyDescent="0.3">
      <c r="A547" s="6"/>
      <c r="B547" s="8"/>
    </row>
    <row r="548" spans="1:2" x14ac:dyDescent="0.3">
      <c r="A548" s="6"/>
      <c r="B548" s="8"/>
    </row>
    <row r="549" spans="1:2" x14ac:dyDescent="0.3">
      <c r="A549" s="6"/>
      <c r="B549" s="8"/>
    </row>
    <row r="550" spans="1:2" x14ac:dyDescent="0.3">
      <c r="A550" s="6"/>
      <c r="B550" s="8"/>
    </row>
    <row r="551" spans="1:2" x14ac:dyDescent="0.3">
      <c r="A551" s="6"/>
      <c r="B551" s="8"/>
    </row>
    <row r="552" spans="1:2" x14ac:dyDescent="0.3">
      <c r="A552" s="6"/>
      <c r="B552" s="8"/>
    </row>
    <row r="553" spans="1:2" x14ac:dyDescent="0.3">
      <c r="A553" s="6"/>
      <c r="B553" s="8"/>
    </row>
    <row r="554" spans="1:2" x14ac:dyDescent="0.3">
      <c r="A554" s="6"/>
      <c r="B554" s="8"/>
    </row>
    <row r="555" spans="1:2" x14ac:dyDescent="0.3">
      <c r="A555" s="6"/>
      <c r="B555" s="8"/>
    </row>
    <row r="556" spans="1:2" x14ac:dyDescent="0.3">
      <c r="A556" s="6"/>
      <c r="B556" s="8"/>
    </row>
    <row r="557" spans="1:2" x14ac:dyDescent="0.3">
      <c r="A557" s="6"/>
      <c r="B557" s="8"/>
    </row>
    <row r="558" spans="1:2" x14ac:dyDescent="0.3">
      <c r="A558" s="6"/>
      <c r="B558" s="8"/>
    </row>
    <row r="559" spans="1:2" x14ac:dyDescent="0.3">
      <c r="A559" s="6"/>
      <c r="B559" s="8"/>
    </row>
    <row r="560" spans="1:2" x14ac:dyDescent="0.3">
      <c r="A560" s="6"/>
      <c r="B560" s="8"/>
    </row>
    <row r="561" spans="1:2" x14ac:dyDescent="0.3">
      <c r="A561" s="6"/>
      <c r="B561" s="8"/>
    </row>
    <row r="562" spans="1:2" x14ac:dyDescent="0.3">
      <c r="A562" s="6"/>
      <c r="B562" s="8"/>
    </row>
    <row r="563" spans="1:2" x14ac:dyDescent="0.3">
      <c r="A563" s="6"/>
      <c r="B563" s="8"/>
    </row>
    <row r="564" spans="1:2" x14ac:dyDescent="0.3">
      <c r="A564" s="6"/>
      <c r="B564" s="8"/>
    </row>
    <row r="565" spans="1:2" x14ac:dyDescent="0.3">
      <c r="A565" s="6"/>
      <c r="B565" s="8"/>
    </row>
    <row r="566" spans="1:2" x14ac:dyDescent="0.3">
      <c r="A566" s="6"/>
      <c r="B566" s="8"/>
    </row>
    <row r="567" spans="1:2" x14ac:dyDescent="0.3">
      <c r="A567" s="6"/>
      <c r="B567" s="8"/>
    </row>
    <row r="568" spans="1:2" x14ac:dyDescent="0.3">
      <c r="A568" s="6"/>
      <c r="B568" s="8"/>
    </row>
    <row r="569" spans="1:2" x14ac:dyDescent="0.3">
      <c r="A569" s="6"/>
      <c r="B569" s="8"/>
    </row>
    <row r="570" spans="1:2" x14ac:dyDescent="0.3">
      <c r="A570" s="6"/>
      <c r="B570" s="8"/>
    </row>
    <row r="571" spans="1:2" x14ac:dyDescent="0.3">
      <c r="A571" s="6"/>
      <c r="B571" s="8"/>
    </row>
    <row r="572" spans="1:2" x14ac:dyDescent="0.3">
      <c r="A572" s="6"/>
      <c r="B572" s="8"/>
    </row>
    <row r="573" spans="1:2" x14ac:dyDescent="0.3">
      <c r="A573" s="6"/>
      <c r="B573" s="8"/>
    </row>
    <row r="574" spans="1:2" x14ac:dyDescent="0.3">
      <c r="A574" s="6"/>
      <c r="B574" s="8"/>
    </row>
    <row r="575" spans="1:2" x14ac:dyDescent="0.3">
      <c r="A575" s="6"/>
      <c r="B575" s="8"/>
    </row>
    <row r="576" spans="1:2" x14ac:dyDescent="0.3">
      <c r="A576" s="6"/>
      <c r="B576" s="8"/>
    </row>
    <row r="577" spans="1:2" x14ac:dyDescent="0.3">
      <c r="A577" s="6"/>
      <c r="B577" s="8"/>
    </row>
    <row r="578" spans="1:2" x14ac:dyDescent="0.3">
      <c r="A578" s="6"/>
      <c r="B578" s="8"/>
    </row>
    <row r="579" spans="1:2" x14ac:dyDescent="0.3">
      <c r="A579" s="6"/>
      <c r="B579" s="8"/>
    </row>
    <row r="580" spans="1:2" x14ac:dyDescent="0.3">
      <c r="A580" s="6"/>
      <c r="B580" s="8"/>
    </row>
    <row r="581" spans="1:2" x14ac:dyDescent="0.3">
      <c r="A581" s="6"/>
      <c r="B581" s="8"/>
    </row>
    <row r="582" spans="1:2" x14ac:dyDescent="0.3">
      <c r="A582" s="6"/>
      <c r="B582" s="8"/>
    </row>
    <row r="583" spans="1:2" x14ac:dyDescent="0.3">
      <c r="A583" s="6"/>
      <c r="B583" s="8"/>
    </row>
    <row r="584" spans="1:2" x14ac:dyDescent="0.3">
      <c r="A584" s="6"/>
      <c r="B584" s="8"/>
    </row>
    <row r="585" spans="1:2" x14ac:dyDescent="0.3">
      <c r="A585" s="6"/>
      <c r="B585" s="8"/>
    </row>
    <row r="586" spans="1:2" x14ac:dyDescent="0.3">
      <c r="A586" s="6"/>
      <c r="B586" s="8"/>
    </row>
    <row r="587" spans="1:2" x14ac:dyDescent="0.3">
      <c r="A587" s="6"/>
      <c r="B587" s="8"/>
    </row>
    <row r="588" spans="1:2" x14ac:dyDescent="0.3">
      <c r="A588" s="6"/>
      <c r="B588" s="8"/>
    </row>
    <row r="589" spans="1:2" x14ac:dyDescent="0.3">
      <c r="A589" s="6"/>
      <c r="B589" s="8"/>
    </row>
    <row r="590" spans="1:2" x14ac:dyDescent="0.3">
      <c r="A590" s="6"/>
      <c r="B590" s="8"/>
    </row>
    <row r="591" spans="1:2" x14ac:dyDescent="0.3">
      <c r="A591" s="6"/>
      <c r="B591" s="8"/>
    </row>
    <row r="592" spans="1:2" x14ac:dyDescent="0.3">
      <c r="A592" s="6"/>
      <c r="B592" s="8"/>
    </row>
  </sheetData>
  <mergeCells count="3">
    <mergeCell ref="AQ1:AV1"/>
    <mergeCell ref="C1:AN1"/>
    <mergeCell ref="AO1:AP1"/>
  </mergeCells>
  <hyperlinks>
    <hyperlink ref="B60" r:id="rId1" xr:uid="{9B7FDDF7-0578-4941-8D1F-570F0FA8EF42}"/>
    <hyperlink ref="B61" r:id="rId2" xr:uid="{BF842A4C-D639-40F6-8232-4C2AFDEC0B89}"/>
  </hyperlinks>
  <pageMargins left="0.7" right="0.7" top="0.78740157499999996" bottom="0.78740157499999996" header="0.3" footer="0.3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9755D-46E4-409F-B206-84A9F8965714}">
  <sheetPr codeName="Tabelle4"/>
  <dimension ref="A1:O76"/>
  <sheetViews>
    <sheetView zoomScale="75" zoomScaleNormal="85" workbookViewId="0">
      <selection activeCell="E3" sqref="E3"/>
    </sheetView>
  </sheetViews>
  <sheetFormatPr baseColWidth="10" defaultRowHeight="14.4" x14ac:dyDescent="0.3"/>
  <cols>
    <col min="9" max="9" width="12.44140625" bestFit="1" customWidth="1"/>
    <col min="10" max="10" width="12.5546875" bestFit="1" customWidth="1"/>
    <col min="13" max="13" width="19.33203125" bestFit="1" customWidth="1"/>
  </cols>
  <sheetData>
    <row r="1" spans="1:15" x14ac:dyDescent="0.3">
      <c r="A1" s="105" t="s">
        <v>259</v>
      </c>
      <c r="B1" s="105"/>
      <c r="C1" s="105"/>
      <c r="E1" s="106" t="s">
        <v>258</v>
      </c>
      <c r="F1" s="106"/>
      <c r="G1" s="106"/>
      <c r="I1" s="107" t="s">
        <v>257</v>
      </c>
      <c r="J1" s="107"/>
      <c r="K1" s="107"/>
      <c r="M1" s="108" t="s">
        <v>260</v>
      </c>
      <c r="N1" s="108"/>
      <c r="O1" s="108"/>
    </row>
    <row r="2" spans="1:15" x14ac:dyDescent="0.3">
      <c r="A2" s="19" t="s">
        <v>254</v>
      </c>
      <c r="B2" s="19" t="s">
        <v>255</v>
      </c>
      <c r="C2" s="19" t="s">
        <v>256</v>
      </c>
      <c r="E2" s="20" t="s">
        <v>254</v>
      </c>
      <c r="F2" s="20" t="s">
        <v>255</v>
      </c>
      <c r="G2" s="20" t="s">
        <v>256</v>
      </c>
      <c r="I2" s="21" t="s">
        <v>254</v>
      </c>
      <c r="J2" s="21" t="s">
        <v>255</v>
      </c>
      <c r="K2" s="21" t="s">
        <v>256</v>
      </c>
      <c r="M2" s="22" t="s">
        <v>254</v>
      </c>
      <c r="N2" s="22" t="s">
        <v>255</v>
      </c>
      <c r="O2" s="22" t="s">
        <v>256</v>
      </c>
    </row>
    <row r="3" spans="1:15" x14ac:dyDescent="0.3">
      <c r="A3" s="1">
        <f>(CAPEX!I5-$A$19)^2</f>
        <v>15166.720607343887</v>
      </c>
      <c r="B3" s="1">
        <f>(CAPEX!I5-6377.4*CAPEX!E5^(-0.425))^2</f>
        <v>10018.905418194054</v>
      </c>
      <c r="C3" s="9">
        <f>1-SUM(B3:B17)/SUM(A3:A17)</f>
        <v>0.64258252201540889</v>
      </c>
      <c r="E3" s="1">
        <f>(CAPEX!I25-E18)^2</f>
        <v>5341977.8331539454</v>
      </c>
      <c r="F3" s="1">
        <f>(CAPEX!I25-3189.9*CAPEX!E25^(-0.3))^2</f>
        <v>797504.15056129242</v>
      </c>
      <c r="G3" s="9">
        <f>1-SUM(F3:F16)/SUM(E3:E16)</f>
        <v>0.80730872686307387</v>
      </c>
      <c r="I3" s="1">
        <f>(CAPEX!K69-$I$15)^2</f>
        <v>1177.4228306724167</v>
      </c>
      <c r="J3" s="1">
        <f>(CAPEX!K69-304454*CAPEX!E69^(-0.924))^2</f>
        <v>7.4668361548019506</v>
      </c>
      <c r="K3" s="9">
        <f>1-SUM(J3:J13)/SUM(I3:I13)</f>
        <v>0.59575702318725177</v>
      </c>
      <c r="M3" s="96">
        <f>(CAPEX!L87-$M$18)^2</f>
        <v>395.35946128719428</v>
      </c>
      <c r="N3" s="1">
        <f>(CAPEX!L87-38344*CAPEX!F87^(-0.675))^2</f>
        <v>28.194041169859396</v>
      </c>
      <c r="O3" s="9">
        <f>1-SUM(N3:N16)/SUM(M3:M16)</f>
        <v>0.47463146628289732</v>
      </c>
    </row>
    <row r="4" spans="1:15" x14ac:dyDescent="0.3">
      <c r="A4" s="1">
        <f>(CAPEX!I6-$A$19)^2</f>
        <v>18215.321959984616</v>
      </c>
      <c r="B4" s="1">
        <f>(CAPEX!I6-6377.4*CAPEX!E6^(-0.425))^2</f>
        <v>8.702947314559098E-2</v>
      </c>
      <c r="E4" s="1">
        <f>(CAPEX!I26-E19)^2</f>
        <v>32851289.080451582</v>
      </c>
      <c r="F4" s="1">
        <f>(CAPEX!I26-3189.9*CAPEX!E26^(-0.3))^2</f>
        <v>11815407.070909241</v>
      </c>
      <c r="I4" s="1">
        <f>(CAPEX!K70-$I$15)^2</f>
        <v>1698.8076494348311</v>
      </c>
      <c r="J4" s="1">
        <f>(CAPEX!K70-304454*CAPEX!E70^(-0.924))^2</f>
        <v>648.33502498896257</v>
      </c>
      <c r="M4">
        <f>(CAPEX!L89-$M$18)^2</f>
        <v>1004.0395268115981</v>
      </c>
      <c r="N4" s="1">
        <f>(CAPEX!L89-38344*CAPEX!F89^(-0.675))^2</f>
        <v>7.7634861935670436</v>
      </c>
    </row>
    <row r="5" spans="1:15" x14ac:dyDescent="0.3">
      <c r="A5" s="1">
        <f>(CAPEX!I7-$A$19)^2</f>
        <v>2483.2062308527652</v>
      </c>
      <c r="B5" s="1">
        <f>(CAPEX!I7-6377.4*CAPEX!E7^(-0.425))^2</f>
        <v>146.96949807829333</v>
      </c>
      <c r="E5" s="1">
        <f>(CAPEX!I27-E20)^2</f>
        <v>41231762.715396397</v>
      </c>
      <c r="F5" s="1">
        <f>(CAPEX!I27-3189.9*CAPEX!E27^(-0.3))^2</f>
        <v>2607742.3049701662</v>
      </c>
      <c r="I5" s="1">
        <f>(CAPEX!K71-$I$15)^2</f>
        <v>2315.153101928594</v>
      </c>
      <c r="J5" s="1">
        <f>(CAPEX!K71-304454*CAPEX!E71^(-0.924))^2</f>
        <v>71.473696165050569</v>
      </c>
      <c r="M5">
        <f>(CAPEX!L90-$M$18)^2</f>
        <v>4109.1200242934819</v>
      </c>
      <c r="N5" s="1">
        <f>(CAPEX!L90-38344*CAPEX!F90^(-0.675))^2</f>
        <v>3656.7943807031247</v>
      </c>
    </row>
    <row r="6" spans="1:15" x14ac:dyDescent="0.3">
      <c r="A6" s="1">
        <f>(CAPEX!I8-$A$19)^2</f>
        <v>180515.68688465533</v>
      </c>
      <c r="B6" s="1">
        <f>(CAPEX!I8-6377.4*CAPEX!E8^(-0.425))^2</f>
        <v>84217.336505720814</v>
      </c>
      <c r="E6" s="1">
        <f>(CAPEX!I28-E21)^2</f>
        <v>35763.762566849684</v>
      </c>
      <c r="F6" s="1">
        <f>(CAPEX!I28-3189.9*CAPEX!E28^(-0.3))^2</f>
        <v>8811.5634136312783</v>
      </c>
      <c r="I6" s="1">
        <f>(CAPEX!K72-$I$15)^2</f>
        <v>358.85282767487354</v>
      </c>
      <c r="J6" s="1">
        <f>(CAPEX!K72-304454*CAPEX!E72^(-0.924))^2</f>
        <v>1327.3776545663384</v>
      </c>
      <c r="M6">
        <f>(CAPEX!L91-$M$18)^2</f>
        <v>104967.03422210269</v>
      </c>
      <c r="N6" s="1">
        <f>(CAPEX!L91-38344*CAPEX!F91^(-0.675))^2</f>
        <v>59914.729104475977</v>
      </c>
    </row>
    <row r="7" spans="1:15" x14ac:dyDescent="0.3">
      <c r="A7" s="1">
        <f>(CAPEX!I9-$A$19)^2</f>
        <v>1209.6128408081861</v>
      </c>
      <c r="B7" s="1">
        <f>(CAPEX!I9-6377.4*CAPEX!E9^(-0.425))^2</f>
        <v>369.46403133942226</v>
      </c>
      <c r="E7" s="1">
        <f>(CAPEX!I29-E22)^2</f>
        <v>16293.591378879993</v>
      </c>
      <c r="F7" s="1">
        <f>(CAPEX!I29-3189.9*CAPEX!E29^(-0.3))^2</f>
        <v>273721.92274798715</v>
      </c>
      <c r="I7" s="1">
        <f>(CAPEX!K73-$I$15)^2</f>
        <v>1177.4228306724167</v>
      </c>
      <c r="J7" s="1">
        <f>(CAPEX!K73-304454*CAPEX!E73^(-0.924))^2</f>
        <v>7.4668361548019506</v>
      </c>
      <c r="M7">
        <f>(CAPEX!L92-$M$18)^2</f>
        <v>1320.9088803002851</v>
      </c>
      <c r="N7" s="1">
        <f>(CAPEX!L92-38344*CAPEX!F92^(-0.675))^2</f>
        <v>8.3238791340437039</v>
      </c>
    </row>
    <row r="8" spans="1:15" x14ac:dyDescent="0.3">
      <c r="A8" s="1">
        <f>(CAPEX!I10-$A$19)^2</f>
        <v>6669.2742808036328</v>
      </c>
      <c r="B8" s="1">
        <f>(CAPEX!I10-6377.4*CAPEX!E10^(-0.425))^2</f>
        <v>115.42862084022968</v>
      </c>
      <c r="E8" s="1">
        <f>(CAPEX!I30-E23)^2</f>
        <v>27386.7272440673</v>
      </c>
      <c r="F8" s="1">
        <f>(CAPEX!I30-3189.9*CAPEX!E30^(-0.3))^2</f>
        <v>25824.075619146319</v>
      </c>
      <c r="I8" s="1">
        <f>(CAPEX!K74-$I$15)^2</f>
        <v>1973.4244448630989</v>
      </c>
      <c r="J8" s="1">
        <f>(CAPEX!K74-304454*CAPEX!E74^(-0.924))^2</f>
        <v>20.029992313949617</v>
      </c>
      <c r="M8">
        <f>(CAPEX!L93-$M$18)^2</f>
        <v>1338.4360783728109</v>
      </c>
      <c r="N8" s="1">
        <f>(CAPEX!L93-38344*CAPEX!F93^(-0.675))^2</f>
        <v>34.997121198374828</v>
      </c>
    </row>
    <row r="9" spans="1:15" x14ac:dyDescent="0.3">
      <c r="A9" s="1">
        <f>(CAPEX!I11-$A$19)^2</f>
        <v>10714.08936206866</v>
      </c>
      <c r="B9" s="1">
        <f>(CAPEX!I11-6377.4*CAPEX!E11^(-0.425))^2</f>
        <v>159.36085832317906</v>
      </c>
      <c r="E9" s="1">
        <f>(CAPEX!I31-E24)^2</f>
        <v>94141.335740424285</v>
      </c>
      <c r="F9" s="1">
        <f>(CAPEX!I31-3189.9*CAPEX!E31^(-0.3))^2</f>
        <v>107.26714580783096</v>
      </c>
      <c r="I9" s="1">
        <f>(CAPEX!K75-$I$15)^2</f>
        <v>1059.1774928871871</v>
      </c>
      <c r="J9" s="1">
        <f>(CAPEX!K75-304454*CAPEX!E75^(-0.924))^2</f>
        <v>0.92922463679671263</v>
      </c>
      <c r="M9">
        <f>(CAPEX!L95-$M$18)^2</f>
        <v>851.61495126472641</v>
      </c>
      <c r="N9" s="1">
        <f>(CAPEX!L95-38344*CAPEX!F95^(-0.675))^2</f>
        <v>169.45079237238122</v>
      </c>
    </row>
    <row r="10" spans="1:15" x14ac:dyDescent="0.3">
      <c r="A10" s="1">
        <f>(CAPEX!I12-$A$19)^2</f>
        <v>11470.716313927154</v>
      </c>
      <c r="B10" s="1">
        <f>(CAPEX!I12-6377.4*CAPEX!E12^(-0.425))^2</f>
        <v>117.5101070084884</v>
      </c>
      <c r="E10" s="1">
        <f>(CAPEX!I32-E25)^2</f>
        <v>72076.96017626235</v>
      </c>
      <c r="F10" s="1">
        <f>(CAPEX!I32-3189.9*CAPEX!E32^(-0.3))^2</f>
        <v>161.87210034895401</v>
      </c>
      <c r="I10" s="1">
        <f>(CAPEX!K76-$I$15)^2</f>
        <v>1020.8313576763267</v>
      </c>
      <c r="J10" s="1">
        <f>(CAPEX!K76-304454*CAPEX!E76^(-0.924))^2</f>
        <v>186.51816091920921</v>
      </c>
      <c r="M10">
        <f>(CAPEX!L96-$M$18)^2</f>
        <v>874.19576532199051</v>
      </c>
      <c r="N10" s="1">
        <f>(CAPEX!L96-38344*CAPEX!F96^(-0.675))^2</f>
        <v>3.5130955171327733</v>
      </c>
    </row>
    <row r="11" spans="1:15" x14ac:dyDescent="0.3">
      <c r="A11" s="1">
        <f>(CAPEX!I13-$A$19)^2</f>
        <v>688.66198653363347</v>
      </c>
      <c r="B11" s="1">
        <f>(CAPEX!I13-6377.4*CAPEX!E13^(-0.425))^2</f>
        <v>1608.2439644627614</v>
      </c>
      <c r="E11" s="1">
        <f>(CAPEX!I33-E26)^2</f>
        <v>36773.959273603235</v>
      </c>
      <c r="F11" s="1">
        <f>(CAPEX!I33-3189.9*CAPEX!E33^(-0.3))^2</f>
        <v>2159.8872210181889</v>
      </c>
      <c r="I11" s="1">
        <f>(CAPEX!K77-$I$15)^2</f>
        <v>87.095047342208559</v>
      </c>
      <c r="J11" s="1">
        <f>(CAPEX!K77-304454*CAPEX!E77^(-0.924))^2</f>
        <v>117.01279159947774</v>
      </c>
      <c r="M11">
        <f>(CAPEX!L97-$M$18)^2</f>
        <v>1006.0654337977777</v>
      </c>
      <c r="N11" s="1">
        <f>(CAPEX!L97-38344*CAPEX!F97^(-0.675))^2</f>
        <v>15.290997145959436</v>
      </c>
    </row>
    <row r="12" spans="1:15" x14ac:dyDescent="0.3">
      <c r="A12" s="1">
        <f>(CAPEX!I14-$A$19)^2</f>
        <v>8551.1501615798279</v>
      </c>
      <c r="B12" s="1">
        <f>(CAPEX!I14-6377.4*CAPEX!E14^(-0.425))^2</f>
        <v>43.407960058386692</v>
      </c>
      <c r="E12" s="1">
        <f>(CAPEX!I34-E27)^2</f>
        <v>21614.916061929012</v>
      </c>
      <c r="F12" s="1">
        <f>(CAPEX!I34-3189.9*CAPEX!E34^(-0.3))^2</f>
        <v>1895.3752920648146</v>
      </c>
      <c r="I12" s="1">
        <f>(CAPEX!K78-$I$15)^2</f>
        <v>20998.246584366705</v>
      </c>
      <c r="J12" s="1">
        <f>(CAPEX!K78-304454*CAPEX!E78^(-0.924))^2</f>
        <v>6392.5120322245939</v>
      </c>
      <c r="M12">
        <f>(CAPEX!L99-$M$18)^2</f>
        <v>1169.2346531006619</v>
      </c>
      <c r="N12" s="1">
        <f>(CAPEX!L99-38344*CAPEX!F99^(-0.675))^2</f>
        <v>11.901092706244853</v>
      </c>
    </row>
    <row r="13" spans="1:15" x14ac:dyDescent="0.3">
      <c r="A13" s="1">
        <f>(CAPEX!I15-$A$19)^2</f>
        <v>12229.439192637545</v>
      </c>
      <c r="B13" s="1">
        <f>(CAPEX!I15-6377.4*CAPEX!E15^(-0.425))^2</f>
        <v>14.280368140371763</v>
      </c>
      <c r="E13" s="1">
        <f>(CAPEX!I35-E28)^2</f>
        <v>361038.56015728693</v>
      </c>
      <c r="F13" s="1">
        <f>(CAPEX!I35-3189.9*CAPEX!E35^(-0.3))^2</f>
        <v>603.94846200106781</v>
      </c>
      <c r="I13" s="1">
        <f>(CAPEX!K79-$I$15)^2</f>
        <v>8778.738526419349</v>
      </c>
      <c r="J13" s="1">
        <f>(CAPEX!K79-304454*CAPEX!E79^(-0.924))^2</f>
        <v>7651.4033531417463</v>
      </c>
      <c r="M13">
        <f>(CAPEX!L102-$M$18)^2</f>
        <v>1414.4852929242115</v>
      </c>
      <c r="N13" s="1">
        <f>(CAPEX!L102-38344*CAPEX!F102^(-0.675))^2</f>
        <v>2.1613673338073216</v>
      </c>
    </row>
    <row r="14" spans="1:15" x14ac:dyDescent="0.3">
      <c r="A14" s="1">
        <f>(CAPEX!I16-$A$19)^2</f>
        <v>15101.208252720784</v>
      </c>
      <c r="B14" s="1">
        <f>(CAPEX!I16-6377.4*CAPEX!E16^(-0.425))^2</f>
        <v>55.835499964252605</v>
      </c>
      <c r="E14" s="1">
        <f>(CAPEX!I36-E29)^2</f>
        <v>330965.63346242916</v>
      </c>
      <c r="F14" s="1">
        <f>(CAPEX!I36-3189.9*CAPEX!E36^(-0.3))^2</f>
        <v>16475.709540669806</v>
      </c>
      <c r="J14" s="3"/>
      <c r="M14">
        <f>(CAPEX!L103-$M$18)^2</f>
        <v>1246.7053289108776</v>
      </c>
      <c r="N14" s="1">
        <f>(CAPEX!L103-38344*CAPEX!F103^(-0.675))^2</f>
        <v>162.29699859901635</v>
      </c>
    </row>
    <row r="15" spans="1:15" x14ac:dyDescent="0.3">
      <c r="A15" s="1">
        <f>(CAPEX!I17-$A$19)^2</f>
        <v>3747.2871755709211</v>
      </c>
      <c r="B15" s="1">
        <f>(CAPEX!I17-6377.4*CAPEX!E17^(-0.425))^2</f>
        <v>1118.1006780848525</v>
      </c>
      <c r="E15" s="1">
        <f>(CAPEX!I37-E30)^2</f>
        <v>376565.34296169714</v>
      </c>
      <c r="F15" s="1">
        <f>(CAPEX!I37-3189.9*CAPEX!E37^(-0.3))^2</f>
        <v>21186.750081235623</v>
      </c>
      <c r="I15" s="1">
        <f>AVERAGE(CAPEX!K69:K79)</f>
        <v>51.370559853903657</v>
      </c>
      <c r="J15" s="3"/>
      <c r="M15">
        <f>(CAPEX!L104-$M$18)^2</f>
        <v>1329.6978626132036</v>
      </c>
      <c r="N15" s="1">
        <f>(CAPEX!L104-38344*CAPEX!F104^(-0.675))^2</f>
        <v>5.4996194178400906</v>
      </c>
    </row>
    <row r="16" spans="1:15" x14ac:dyDescent="0.3">
      <c r="A16" s="1">
        <f>(CAPEX!I18-$A$19)^2</f>
        <v>26540.372970844761</v>
      </c>
      <c r="B16" s="1">
        <f>(CAPEX!I18-6377.4*CAPEX!E18^(-0.425))^2</f>
        <v>3484.4865702304869</v>
      </c>
      <c r="E16" s="1">
        <f>(CAPEX!I38-E31)^2</f>
        <v>41225.748515141851</v>
      </c>
      <c r="F16" s="1">
        <f>(CAPEX!I38-3189.9*CAPEX!E38^(-0.3))^2</f>
        <v>5344.0694243902344</v>
      </c>
      <c r="J16" s="3"/>
      <c r="M16">
        <f>(CAPEX!L105-$M$18)^2</f>
        <v>872.85770589147876</v>
      </c>
      <c r="N16" s="1">
        <f>(CAPEX!L105-38344*CAPEX!F105^(-0.675))^2</f>
        <v>21.379667096963502</v>
      </c>
    </row>
    <row r="17" spans="1:15" x14ac:dyDescent="0.3">
      <c r="A17" s="1">
        <f>(CAPEX!I19-$A$19)^2</f>
        <v>461.12746502656051</v>
      </c>
      <c r="B17" s="1">
        <f>(CAPEX!I19-6377.4*CAPEX!E19^(-0.425))^2</f>
        <v>10675.276020212756</v>
      </c>
      <c r="E17" s="3"/>
      <c r="F17" s="3"/>
      <c r="I17" s="3"/>
      <c r="J17" s="3"/>
    </row>
    <row r="18" spans="1:15" x14ac:dyDescent="0.3">
      <c r="E18" s="1">
        <f>AVERAGE(CAPEX!I25:I38)</f>
        <v>1373.3272711817556</v>
      </c>
      <c r="M18" s="1">
        <f>AVERAGE(CAPEX!L87:L105)</f>
        <v>38.738661433049927</v>
      </c>
    </row>
    <row r="19" spans="1:15" x14ac:dyDescent="0.3">
      <c r="A19" s="1">
        <f>AVERAGE(CAPEX!I5:I19)</f>
        <v>150.3046167630022</v>
      </c>
    </row>
    <row r="20" spans="1:15" x14ac:dyDescent="0.3">
      <c r="A20" s="23"/>
      <c r="B20" s="23"/>
    </row>
    <row r="21" spans="1:15" x14ac:dyDescent="0.3">
      <c r="A21" s="24"/>
      <c r="B21" s="24"/>
    </row>
    <row r="25" spans="1:15" x14ac:dyDescent="0.3">
      <c r="I25" s="107" t="s">
        <v>266</v>
      </c>
      <c r="J25" s="107"/>
      <c r="K25" s="107"/>
      <c r="M25" s="108" t="s">
        <v>267</v>
      </c>
      <c r="N25" s="108"/>
      <c r="O25" s="108"/>
    </row>
    <row r="26" spans="1:15" x14ac:dyDescent="0.3">
      <c r="I26" s="21" t="s">
        <v>254</v>
      </c>
      <c r="J26" s="21" t="s">
        <v>255</v>
      </c>
      <c r="K26" s="21" t="s">
        <v>256</v>
      </c>
      <c r="M26" s="22" t="s">
        <v>254</v>
      </c>
      <c r="N26" s="22" t="s">
        <v>255</v>
      </c>
      <c r="O26" s="22" t="s">
        <v>256</v>
      </c>
    </row>
    <row r="27" spans="1:15" x14ac:dyDescent="0.3">
      <c r="I27" s="1">
        <f>(CAPEX!M69-$I$40)^2</f>
        <v>585774.01038309012</v>
      </c>
      <c r="J27" s="1">
        <f>(CAPEX!M69-953771*CAPEX!F69^(-1.057))^2</f>
        <v>16823.87582799908</v>
      </c>
      <c r="K27" s="9">
        <f>1-SUM(J27:J38)/SUM(I27:I38)</f>
        <v>0.32369191167246214</v>
      </c>
      <c r="M27" s="1">
        <f>(CAPEX!M87-$M$40)^2</f>
        <v>88371.966996255665</v>
      </c>
      <c r="N27" s="1">
        <f>(CAPEX!M87-81779*CAPEX!G87^(-0.63))^2</f>
        <v>4596.6124270887494</v>
      </c>
      <c r="O27" s="9">
        <f>1-SUM(N27:N38)/SUM(M27:M38)</f>
        <v>0.5002307788681839</v>
      </c>
    </row>
    <row r="28" spans="1:15" x14ac:dyDescent="0.3">
      <c r="I28" s="1">
        <f>(CAPEX!M70-$I$40)^2</f>
        <v>2309415.9290062054</v>
      </c>
      <c r="J28" s="1">
        <f>(CAPEX!M70-953771*CAPEX!F70^(-1.057))^2</f>
        <v>193293.98196796342</v>
      </c>
      <c r="M28" s="1">
        <f>(CAPEX!M89-$M$40)^2</f>
        <v>225629.00486266808</v>
      </c>
      <c r="N28" s="1">
        <f>(CAPEX!M89-81779*CAPEX!G89^(-0.63))^2</f>
        <v>6481.9159318770207</v>
      </c>
    </row>
    <row r="29" spans="1:15" x14ac:dyDescent="0.3">
      <c r="I29" s="1">
        <f>(CAPEX!M71-$I$40)^2</f>
        <v>2292007.8222861425</v>
      </c>
      <c r="J29" s="1">
        <f>(CAPEX!M71-953771*CAPEX!F71^(-1.057))^2</f>
        <v>169971.37871207122</v>
      </c>
      <c r="M29" s="1">
        <f>(CAPEX!M90-$M$40)^2</f>
        <v>1117651.5831011964</v>
      </c>
      <c r="N29" s="1">
        <f>(CAPEX!M90-81779*CAPEX!G90^(-0.63))^2</f>
        <v>829396.75054386444</v>
      </c>
    </row>
    <row r="30" spans="1:15" x14ac:dyDescent="0.3">
      <c r="I30" s="1">
        <f>(CAPEX!M72-$I$40)^2</f>
        <v>11858270.935335629</v>
      </c>
      <c r="J30" s="1">
        <f>(CAPEX!M72-953771*CAPEX!F72^(-1.057))^2</f>
        <v>6083358.7823050125</v>
      </c>
      <c r="M30" s="1">
        <f>(CAPEX!M91-$M$40)^2</f>
        <v>5593769.7140255384</v>
      </c>
      <c r="N30" s="1">
        <f>(CAPEX!M91-81779*CAPEX!G91^(-0.63))^2</f>
        <v>2722652.7402204257</v>
      </c>
    </row>
    <row r="31" spans="1:15" x14ac:dyDescent="0.3">
      <c r="I31" s="1">
        <f>(CAPEX!M73-$I$40)^2</f>
        <v>112002.48778619041</v>
      </c>
      <c r="J31" s="1">
        <f>(CAPEX!M73-953771*CAPEX!F73^(-1.057))^2</f>
        <v>50096.091032269243</v>
      </c>
      <c r="M31" s="1">
        <f>(CAPEX!M92-$M$40)^2</f>
        <v>250569.73202803259</v>
      </c>
      <c r="N31" s="1">
        <f>(CAPEX!M92-81779*CAPEX!G92^(-0.63))^2</f>
        <v>17187.049137124221</v>
      </c>
    </row>
    <row r="32" spans="1:15" x14ac:dyDescent="0.3">
      <c r="I32" s="1">
        <f>(CAPEX!M74-$I$40)^2</f>
        <v>1147931.9186605464</v>
      </c>
      <c r="J32" s="1">
        <f>(CAPEX!M74-953771*CAPEX!F74^(-1.057))^2</f>
        <v>209036.2152624724</v>
      </c>
      <c r="M32" s="1">
        <f>(CAPEX!M93-$M$40)^2</f>
        <v>303768.54464763711</v>
      </c>
      <c r="N32" s="1">
        <f>(CAPEX!M93-81779*CAPEX!G93^(-0.63))^2</f>
        <v>85448.061600548113</v>
      </c>
    </row>
    <row r="33" spans="9:15" x14ac:dyDescent="0.3">
      <c r="I33" s="1">
        <f>(CAPEX!M75-$I$40)^2</f>
        <v>504133.24621504272</v>
      </c>
      <c r="J33" s="1">
        <f>(CAPEX!M75-953771*CAPEX!F75^(-1.057))^2</f>
        <v>878.81478162851818</v>
      </c>
      <c r="M33" s="1">
        <f>(CAPEX!M96-$M$40)^2</f>
        <v>587104.3458323942</v>
      </c>
      <c r="N33" s="1">
        <f>(CAPEX!M96-81779*CAPEX!G96^(-0.63))^2</f>
        <v>634532.66247704776</v>
      </c>
    </row>
    <row r="34" spans="9:15" x14ac:dyDescent="0.3">
      <c r="I34" s="1">
        <f>(CAPEX!M76-$I$40)^2</f>
        <v>1657781.9397928857</v>
      </c>
      <c r="J34" s="1">
        <f>(CAPEX!M76-953771*CAPEX!F76^(-1.057))^2</f>
        <v>82622.179513642157</v>
      </c>
      <c r="M34" s="1">
        <f>(CAPEX!M97-$M$40)^2</f>
        <v>91289.92219158473</v>
      </c>
      <c r="N34" s="1">
        <f>(CAPEX!M97-81779*CAPEX!G97^(-0.63))^2</f>
        <v>59571.136694316949</v>
      </c>
    </row>
    <row r="35" spans="9:15" x14ac:dyDescent="0.3">
      <c r="I35" s="1">
        <f>(CAPEX!M77-$I$40)^2</f>
        <v>149374.22336250133</v>
      </c>
      <c r="J35" s="1">
        <f>(CAPEX!M77-953771*CAPEX!F77^(-1.057))^2</f>
        <v>26915.101230522545</v>
      </c>
      <c r="M35" s="1">
        <f>(CAPEX!M102-$M$40)^2</f>
        <v>395415.88805857807</v>
      </c>
      <c r="N35" s="1">
        <f>(CAPEX!M102-81779*CAPEX!G102^(-0.63))^2</f>
        <v>5373.8382308452383</v>
      </c>
    </row>
    <row r="36" spans="9:15" x14ac:dyDescent="0.3">
      <c r="I36" s="1">
        <f>(CAPEX!M78-$I$40)^2</f>
        <v>2853949.376538977</v>
      </c>
      <c r="J36" s="1">
        <f>(CAPEX!M78-953771*CAPEX!F78^(-1.057))^2</f>
        <v>1006995.7600259727</v>
      </c>
      <c r="M36" s="1">
        <f>(CAPEX!M103-$M$40)^2</f>
        <v>265479.38615166838</v>
      </c>
      <c r="N36" s="1">
        <f>(CAPEX!M103-81779*CAPEX!G103^(-0.63))^2</f>
        <v>288289.34067859198</v>
      </c>
    </row>
    <row r="37" spans="9:15" x14ac:dyDescent="0.3">
      <c r="I37" s="1">
        <f>(CAPEX!M79-$I$40)^2</f>
        <v>660724.03871955641</v>
      </c>
      <c r="J37" s="1">
        <f>(CAPEX!M79-953771*CAPEX!F79^(-1.057))^2</f>
        <v>2072035.3679430087</v>
      </c>
      <c r="M37" s="1">
        <f>(CAPEX!M104-$M$40)^2</f>
        <v>181447.90902521563</v>
      </c>
      <c r="N37" s="1">
        <f>(CAPEX!M104-81779*CAPEX!G104^(-0.63))^2</f>
        <v>8656.3372203951221</v>
      </c>
    </row>
    <row r="38" spans="9:15" x14ac:dyDescent="0.3">
      <c r="I38" s="1">
        <f>(CAPEX!M81-$I$40)^2</f>
        <v>2700504.9351457818</v>
      </c>
      <c r="J38" s="1">
        <f>(CAPEX!M81-953771*CAPEX!F81^(-1.057))^2</f>
        <v>8234583.7411616072</v>
      </c>
      <c r="M38" s="1">
        <f>(CAPEX!M105-$M$40)^2</f>
        <v>242414.29144928665</v>
      </c>
      <c r="N38" s="1">
        <f>(CAPEX!M105-81779*CAPEX!G105^(-0.63))^2</f>
        <v>7113.552299451494</v>
      </c>
    </row>
    <row r="40" spans="9:15" x14ac:dyDescent="0.3">
      <c r="I40" s="1">
        <f>AVERAGE(CAPEX!M69:M81)</f>
        <v>1694.7446287955784</v>
      </c>
      <c r="M40" s="1">
        <f>AVERAGE(CAPEX!M87:M105)</f>
        <v>705.79951775385882</v>
      </c>
    </row>
    <row r="42" spans="9:15" x14ac:dyDescent="0.3">
      <c r="I42" s="107" t="s">
        <v>269</v>
      </c>
      <c r="J42" s="107"/>
      <c r="K42" s="107"/>
      <c r="M42" s="108" t="s">
        <v>270</v>
      </c>
      <c r="N42" s="108"/>
      <c r="O42" s="108"/>
    </row>
    <row r="43" spans="9:15" ht="16.2" x14ac:dyDescent="0.3">
      <c r="I43" s="21" t="s">
        <v>268</v>
      </c>
      <c r="J43" s="21" t="s">
        <v>255</v>
      </c>
      <c r="K43" s="21" t="s">
        <v>256</v>
      </c>
      <c r="M43" s="22" t="s">
        <v>268</v>
      </c>
      <c r="N43" s="22" t="s">
        <v>255</v>
      </c>
      <c r="O43" s="22" t="s">
        <v>256</v>
      </c>
    </row>
    <row r="44" spans="9:15" x14ac:dyDescent="0.3">
      <c r="I44">
        <v>1.4999999999999999E-2</v>
      </c>
      <c r="J44" s="1">
        <f>(CAPEX!M69-304454/$I$44^(-0.924+1)*CAPEX!F69^(-0.924))^2</f>
        <v>27406.384541684962</v>
      </c>
      <c r="K44" s="9">
        <f>1-SUM(J44:J55)/SUM(I27:I38)</f>
        <v>0.28399177460178027</v>
      </c>
      <c r="M44">
        <v>0.03</v>
      </c>
      <c r="N44" s="1">
        <f>(CAPEX!M87-38344/$M$44^(-0.675+1)*CAPEX!G87^(-0.675))^2</f>
        <v>5032.7702419666075</v>
      </c>
      <c r="O44" s="9">
        <f>1-SUM(N44:N55)/SUM(M27:M38)</f>
        <v>0.5559533145363097</v>
      </c>
    </row>
    <row r="45" spans="9:15" x14ac:dyDescent="0.3">
      <c r="J45" s="1">
        <f>(CAPEX!M70-304454/$I$44^(-0.924+1)*CAPEX!F70^(-0.924))^2</f>
        <v>255510.80536733169</v>
      </c>
      <c r="N45" s="1">
        <f>(CAPEX!M89-38344/$M$44^(-0.675+1)*CAPEX!G89^(-0.675))^2</f>
        <v>8163.67870126448</v>
      </c>
    </row>
    <row r="46" spans="9:15" x14ac:dyDescent="0.3">
      <c r="J46" s="1">
        <f>(CAPEX!M71-304454/$I$44^(-0.924+1)*CAPEX!F71^(-0.924))^2</f>
        <v>229205.94260346805</v>
      </c>
      <c r="N46" s="1">
        <f>(CAPEX!M90-38344/$M$44^(-0.675+1)*CAPEX!G90^(-0.675))^2</f>
        <v>742054.56536032702</v>
      </c>
    </row>
    <row r="47" spans="9:15" x14ac:dyDescent="0.3">
      <c r="J47" s="1">
        <f>(CAPEX!M72-304454/$I$44^(-0.924+1)*CAPEX!F72^(-0.924))^2</f>
        <v>7180475.4427429494</v>
      </c>
      <c r="N47" s="1">
        <f>(CAPEX!M91-38344/$M$44^(-0.675+1)*CAPEX!G91^(-0.675))^2</f>
        <v>2286120.6321181436</v>
      </c>
    </row>
    <row r="48" spans="9:15" x14ac:dyDescent="0.3">
      <c r="J48" s="1">
        <f>(CAPEX!M73-304454/$I$44^(-0.924+1)*CAPEX!F73^(-0.924))^2</f>
        <v>38636.309799012735</v>
      </c>
      <c r="N48" s="1">
        <f>(CAPEX!M92-38344/$M$44^(-0.675+1)*CAPEX!G92^(-0.675))^2</f>
        <v>16304.024689918537</v>
      </c>
    </row>
    <row r="49" spans="9:15" x14ac:dyDescent="0.3">
      <c r="J49" s="1">
        <f>(CAPEX!M74-304454/$I$44^(-0.924+1)*CAPEX!F74^(-0.924))^2</f>
        <v>165242.93620216867</v>
      </c>
      <c r="N49" s="1">
        <f>(CAPEX!M93-38344/$M$44^(-0.675+1)*CAPEX!G93^(-0.675))^2</f>
        <v>88125.506473908899</v>
      </c>
    </row>
    <row r="50" spans="9:15" x14ac:dyDescent="0.3">
      <c r="J50" s="1">
        <f>(CAPEX!M75-304454/$I$44^(-0.924+1)*CAPEX!F75^(-0.924))^2</f>
        <v>4855.6099034348645</v>
      </c>
      <c r="N50" s="1">
        <f>(CAPEX!M96-38344/$M$44^(-0.675+1)*CAPEX!G96^(-0.675))^2</f>
        <v>591798.69306420174</v>
      </c>
    </row>
    <row r="51" spans="9:15" x14ac:dyDescent="0.3">
      <c r="J51" s="1">
        <f>(CAPEX!M76-304454/$I$44^(-0.924+1)*CAPEX!F76^(-0.924))^2</f>
        <v>122563.83878559706</v>
      </c>
      <c r="N51" s="1">
        <f>(CAPEX!M97-38344/$M$44^(-0.675+1)*CAPEX!G97^(-0.675))^2</f>
        <v>64456.49462606787</v>
      </c>
    </row>
    <row r="52" spans="9:15" x14ac:dyDescent="0.3">
      <c r="J52" s="1">
        <f>(CAPEX!M77-304454/$I$44^(-0.924+1)*CAPEX!F77^(-0.924))^2</f>
        <v>18710.057582080815</v>
      </c>
      <c r="N52" s="1">
        <f>(CAPEX!M102-38344/$M$44^(-0.675+1)*CAPEX!G102^(-0.675))^2</f>
        <v>4027.6458655941624</v>
      </c>
    </row>
    <row r="53" spans="9:15" x14ac:dyDescent="0.3">
      <c r="J53" s="1">
        <f>(CAPEX!M78-304454/$I$44^(-0.924+1)*CAPEX!F78^(-0.924))^2</f>
        <v>1348843.5282343396</v>
      </c>
      <c r="N53" s="1">
        <f>(CAPEX!M103-38344/$M$44^(-0.675+1)*CAPEX!G103^(-0.675))^2</f>
        <v>325289.1280844633</v>
      </c>
    </row>
    <row r="54" spans="9:15" x14ac:dyDescent="0.3">
      <c r="J54" s="1">
        <f>(CAPEX!M79-304454/$I$44^(-0.924+1)*CAPEX!F79^(-0.924))^2</f>
        <v>1972591.129622617</v>
      </c>
      <c r="N54" s="1">
        <f>(CAPEX!M104-38344/$M$44^(-0.675+1)*CAPEX!G104^(-0.675))^2</f>
        <v>8461.3877855995506</v>
      </c>
    </row>
    <row r="55" spans="9:15" x14ac:dyDescent="0.3">
      <c r="J55" s="1">
        <f>(CAPEX!M81-304454/$I$44^(-0.924+1)*CAPEX!F81^(-0.924))^2</f>
        <v>7847798.2555126511</v>
      </c>
      <c r="N55" s="1">
        <f>(CAPEX!M105-38344/$M$44^(-0.675+1)*CAPEX!G105^(-0.675))^2</f>
        <v>8854.7072172497574</v>
      </c>
    </row>
    <row r="57" spans="9:15" x14ac:dyDescent="0.3">
      <c r="I57" s="107" t="s">
        <v>272</v>
      </c>
      <c r="J57" s="107"/>
      <c r="K57" s="107"/>
      <c r="M57" s="108" t="s">
        <v>273</v>
      </c>
      <c r="N57" s="108"/>
      <c r="O57" s="108"/>
    </row>
    <row r="58" spans="9:15" x14ac:dyDescent="0.3">
      <c r="I58" s="21" t="s">
        <v>254</v>
      </c>
      <c r="J58" s="21" t="s">
        <v>255</v>
      </c>
      <c r="K58" s="21" t="s">
        <v>256</v>
      </c>
      <c r="M58" s="22" t="s">
        <v>254</v>
      </c>
      <c r="N58" s="22" t="s">
        <v>255</v>
      </c>
      <c r="O58" s="22" t="s">
        <v>256</v>
      </c>
    </row>
    <row r="59" spans="9:15" x14ac:dyDescent="0.3">
      <c r="I59" s="1">
        <f>(CAPEX!L72-$I$68)^2</f>
        <v>203921.91525208901</v>
      </c>
      <c r="J59" s="1">
        <f>(CAPEX!L72-67824*CAPEX!G72^(-0.695))^2</f>
        <v>85241.388824968657</v>
      </c>
      <c r="K59" s="9">
        <f>1-SUM(J59:J66)/SUM(I59:I66)</f>
        <v>0.5441819394969607</v>
      </c>
      <c r="M59" s="1">
        <f>(CAPEX!K87-$M$76)^2</f>
        <v>29888381.448691506</v>
      </c>
      <c r="N59" s="1">
        <f>(CAPEX!K87-57526*CAPEX!E87^(-0.388))^2</f>
        <v>135779.9169164107</v>
      </c>
      <c r="O59" s="9">
        <f>1-SUM(N59:N74)/SUM(M59:M74)</f>
        <v>0.12494768935809386</v>
      </c>
    </row>
    <row r="60" spans="9:15" x14ac:dyDescent="0.3">
      <c r="I60" s="1">
        <f>(CAPEX!L74-$I$68)^2</f>
        <v>3608.2869894034602</v>
      </c>
      <c r="J60" s="1">
        <f>(CAPEX!L74-67824*CAPEX!G74^(-0.695))^2</f>
        <v>1571.7470072796248</v>
      </c>
      <c r="M60" s="1">
        <f>(CAPEX!K88-$M$76)^2</f>
        <v>38324761.18138542</v>
      </c>
      <c r="N60" s="1">
        <f>(CAPEX!K88-57526*CAPEX!E88^(-0.388))^2</f>
        <v>1568679.6881065643</v>
      </c>
    </row>
    <row r="61" spans="9:15" x14ac:dyDescent="0.3">
      <c r="I61" s="1">
        <f>(CAPEX!L75-$I$68)^2</f>
        <v>1594.2136495735344</v>
      </c>
      <c r="J61" s="1">
        <f>(CAPEX!L75-67824*CAPEX!G75^(-0.695))^2</f>
        <v>2939.5088807220827</v>
      </c>
      <c r="M61" s="1">
        <f>(CAPEX!K89-$M$76)^2</f>
        <v>15305822.939851185</v>
      </c>
      <c r="N61" s="1">
        <f>(CAPEX!K89-57526*CAPEX!E89^(-0.388))^2</f>
        <v>3957003.0151000684</v>
      </c>
    </row>
    <row r="62" spans="9:15" x14ac:dyDescent="0.3">
      <c r="I62" s="1">
        <f>(CAPEX!L76-$I$68)^2</f>
        <v>3810.97909307381</v>
      </c>
      <c r="J62" s="1">
        <f>(CAPEX!L76-67824*CAPEX!G76^(-0.695))^2</f>
        <v>15317.612798532549</v>
      </c>
      <c r="M62" s="1">
        <f>(CAPEX!K90-$M$76)^2</f>
        <v>3816137.671224196</v>
      </c>
      <c r="N62" s="1">
        <f>(CAPEX!K90-57526*CAPEX!E90^(-0.388))^2</f>
        <v>3748002.0055853091</v>
      </c>
    </row>
    <row r="63" spans="9:15" x14ac:dyDescent="0.3">
      <c r="I63" s="1">
        <f>(CAPEX!L77-$I$68)^2</f>
        <v>30.541274919831341</v>
      </c>
      <c r="J63" s="1">
        <f>(CAPEX!L77-67824*CAPEX!G77^(-0.695))^2</f>
        <v>712.87920780164518</v>
      </c>
      <c r="M63" s="1">
        <f>(CAPEX!K91-$M$76)^2</f>
        <v>1411650911.0377722</v>
      </c>
      <c r="N63" s="1">
        <f>(CAPEX!K91-57526*CAPEX!E91^(-0.388))^2</f>
        <v>1156266566.3926258</v>
      </c>
    </row>
    <row r="64" spans="9:15" x14ac:dyDescent="0.3">
      <c r="I64" s="1">
        <f>(CAPEX!L78-$I$68)^2</f>
        <v>12206.858450105961</v>
      </c>
      <c r="J64" s="1">
        <f>(CAPEX!L78-67824*CAPEX!G78^(-0.695))^2</f>
        <v>407.68562942091222</v>
      </c>
      <c r="M64" s="1">
        <f>(CAPEX!K92-$M$76)^2</f>
        <v>261411.85826581897</v>
      </c>
      <c r="N64" s="1">
        <f>(CAPEX!K92-57526*CAPEX!E92^(-0.388))^2</f>
        <v>934688.10474473319</v>
      </c>
    </row>
    <row r="65" spans="9:14" x14ac:dyDescent="0.3">
      <c r="I65" s="1">
        <f>(CAPEX!L79-$I$68)^2</f>
        <v>24936.750077026325</v>
      </c>
      <c r="J65" s="1">
        <f>(CAPEX!L79-67824*CAPEX!G79^(-0.695))^2</f>
        <v>43.000178964577891</v>
      </c>
      <c r="M65" s="1">
        <f>(CAPEX!K93-$M$76)^2</f>
        <v>87920872.727574855</v>
      </c>
      <c r="N65" s="1">
        <f>(CAPEX!K93-57526*CAPEX!E93^(-0.388))^2</f>
        <v>12994843.426483283</v>
      </c>
    </row>
    <row r="66" spans="9:14" x14ac:dyDescent="0.3">
      <c r="I66" s="1">
        <f>(CAPEX!L81-$I$68)^2</f>
        <v>727.67282286993691</v>
      </c>
      <c r="J66" s="1">
        <f>(CAPEX!L81-67824*CAPEX!G81^(-0.695))^2</f>
        <v>8102.31150485136</v>
      </c>
      <c r="M66" s="1">
        <f>(CAPEX!K94-$M$76)^2</f>
        <v>87540266.795736104</v>
      </c>
      <c r="N66" s="1">
        <f>(CAPEX!K94-57526*CAPEX!E94^(-0.388))^2</f>
        <v>29886188.00861679</v>
      </c>
    </row>
    <row r="67" spans="9:14" x14ac:dyDescent="0.3">
      <c r="M67" s="1">
        <f>(CAPEX!K95-$M$76)^2</f>
        <v>33995441.856652968</v>
      </c>
      <c r="N67" s="1">
        <f>(CAPEX!K95-57526*CAPEX!E95^(-0.388))^2</f>
        <v>18068897.423871741</v>
      </c>
    </row>
    <row r="68" spans="9:14" x14ac:dyDescent="0.3">
      <c r="I68" s="1">
        <f>AVERAGE(CAPEX!L69:L81)</f>
        <v>166.92538102559581</v>
      </c>
      <c r="J68" s="1"/>
      <c r="M68" s="1">
        <f>(CAPEX!K96-$M$76)^2</f>
        <v>3612390.4969442417</v>
      </c>
      <c r="N68" s="1">
        <f>(CAPEX!K96-57526*CAPEX!E96^(-0.388))^2</f>
        <v>5849217.889314021</v>
      </c>
    </row>
    <row r="69" spans="9:14" x14ac:dyDescent="0.3">
      <c r="M69" s="1">
        <f>(CAPEX!K97-$M$76)^2</f>
        <v>703063135.01355302</v>
      </c>
      <c r="N69" s="1">
        <f>(CAPEX!K97-57526*CAPEX!E97^(-0.388))^2</f>
        <v>876176096.05284405</v>
      </c>
    </row>
    <row r="70" spans="9:14" x14ac:dyDescent="0.3">
      <c r="I70" s="1"/>
      <c r="J70" s="1"/>
      <c r="M70" s="1">
        <f>(CAPEX!K98-$M$76)^2</f>
        <v>195138.32805674529</v>
      </c>
      <c r="N70" s="1">
        <f>(CAPEX!K98-57526*CAPEX!E98^(-0.388))^2</f>
        <v>46544429.666425541</v>
      </c>
    </row>
    <row r="71" spans="9:14" x14ac:dyDescent="0.3">
      <c r="M71" s="1">
        <f>(CAPEX!K99-$M$76)^2</f>
        <v>2754529.2384081264</v>
      </c>
      <c r="N71" s="1">
        <f>(CAPEX!K99-57526*CAPEX!E99^(-0.388))^2</f>
        <v>34871506.784848347</v>
      </c>
    </row>
    <row r="72" spans="9:14" x14ac:dyDescent="0.3">
      <c r="M72" s="1">
        <f>(CAPEX!K100-$M$76)^2</f>
        <v>41351828.014996894</v>
      </c>
      <c r="N72" s="1">
        <f>(CAPEX!K100-57526*CAPEX!E100^(-0.388))^2</f>
        <v>27321302.285689939</v>
      </c>
    </row>
    <row r="73" spans="9:14" x14ac:dyDescent="0.3">
      <c r="M73" s="1">
        <f>(CAPEX!K101-$M$76)^2</f>
        <v>10881620.486503916</v>
      </c>
      <c r="N73" s="1">
        <f>(CAPEX!K101-57526*CAPEX!E101^(-0.388))^2</f>
        <v>3778616.8464642037</v>
      </c>
    </row>
    <row r="74" spans="9:14" x14ac:dyDescent="0.3">
      <c r="M74" s="1">
        <f>(CAPEX!K102-$M$76)^2</f>
        <v>74670516.009319365</v>
      </c>
      <c r="N74" s="1">
        <f>(CAPEX!K102-57526*CAPEX!E102^(-0.388))^2</f>
        <v>5110344.7398505928</v>
      </c>
    </row>
    <row r="76" spans="9:14" x14ac:dyDescent="0.3">
      <c r="M76" s="1">
        <f>AVERAGE(CAPEX!K87:K102)</f>
        <v>10180.780082923544</v>
      </c>
    </row>
  </sheetData>
  <mergeCells count="10">
    <mergeCell ref="I57:K57"/>
    <mergeCell ref="M57:O57"/>
    <mergeCell ref="I42:K42"/>
    <mergeCell ref="M42:O42"/>
    <mergeCell ref="A1:C1"/>
    <mergeCell ref="E1:G1"/>
    <mergeCell ref="I1:K1"/>
    <mergeCell ref="M1:O1"/>
    <mergeCell ref="I25:K25"/>
    <mergeCell ref="M25:O25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CAPEX</vt:lpstr>
      <vt:lpstr>OPEX</vt:lpstr>
      <vt:lpstr>inflation &amp; currencies</vt:lpstr>
      <vt:lpstr>R2 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Kälin</dc:creator>
  <cp:lastModifiedBy>Kälin  Manuel</cp:lastModifiedBy>
  <dcterms:created xsi:type="dcterms:W3CDTF">2015-06-05T18:19:34Z</dcterms:created>
  <dcterms:modified xsi:type="dcterms:W3CDTF">2026-06-25T22:09:08Z</dcterms:modified>
</cp:coreProperties>
</file>